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 Science Intershala\Projects\Pepsico Excel\Solution\"/>
    </mc:Choice>
  </mc:AlternateContent>
  <xr:revisionPtr revIDLastSave="0" documentId="13_ncr:1_{1D366BD7-1875-4A29-86F3-4BCF32C52574}" xr6:coauthVersionLast="47" xr6:coauthVersionMax="47" xr10:uidLastSave="{00000000-0000-0000-0000-000000000000}"/>
  <bookViews>
    <workbookView xWindow="-108" yWindow="-108" windowWidth="23256" windowHeight="12456" firstSheet="1" activeTab="6" xr2:uid="{6CFD683B-EAA2-4052-86BF-BCAD10AC0516}"/>
  </bookViews>
  <sheets>
    <sheet name="Posts" sheetId="2" r:id="rId1"/>
    <sheet name="Engagement Summary" sheetId="3" r:id="rId2"/>
    <sheet name="Campaign Metadata" sheetId="4" r:id="rId3"/>
    <sheet name="Task 6.1" sheetId="10" r:id="rId4"/>
    <sheet name="Task 6.2" sheetId="13" r:id="rId5"/>
    <sheet name="Task 6.3" sheetId="14" r:id="rId6"/>
    <sheet name="Task 6.4" sheetId="11" r:id="rId7"/>
  </sheets>
  <definedNames>
    <definedName name="_xlcn.WorksheetConnection_Task6.xlsxCampaign_Metadata" hidden="1">Campaign_Metadata[]</definedName>
    <definedName name="_xlcn.WorksheetConnection_Task6.xlsxPosts" hidden="1">Posts[]</definedName>
    <definedName name="ExternalData_1" localSheetId="0" hidden="1">Posts!$A$1:$N$301</definedName>
    <definedName name="ExternalData_2" localSheetId="1" hidden="1">'Engagement Summary'!$A$1:$G$201</definedName>
    <definedName name="ExternalData_2" localSheetId="5" hidden="1">'Task 6.3'!$A$1:$G$201</definedName>
    <definedName name="ExternalData_3" localSheetId="2" hidden="1">'Campaign Metadata'!$A$1:$G$7</definedName>
  </definedNames>
  <calcPr calcId="191029"/>
  <pivotCaches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 Metadata_08e116aa-4ebb-45be-b646-0cf611b0ba3b" name="Campaign Metadata" connection="Excel Task 3"/>
          <x15:modelTable id="Engagement Summary_339ca3db-6652-48ec-8354-2b0a38c12d62" name="Engagement Summary" connection="Excel Task 3"/>
          <x15:modelTable id="Posts_5c45ff65-bb62-406e-bef1-c12b9ffd4602" name="Posts" connection="Excel Task 3"/>
          <x15:modelTable id="Posts 1" name="Posts 1" connection="WorksheetConnection_Task 6.xlsx!Posts"/>
          <x15:modelTable id="Campaign_Metadata" name="Campaign_Metadata" connection="WorksheetConnection_Task 6.xlsx!Campaign_Metadata"/>
        </x15:modelTables>
        <x15:modelRelationships>
          <x15:modelRelationship fromTable="Posts" fromColumn="Hashtags Used" toTable="Campaign Metadata" toColumn="Primary_Hashtag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14" l="1"/>
  <c r="H201" i="14"/>
  <c r="I200" i="14"/>
  <c r="H200" i="14"/>
  <c r="I199" i="14"/>
  <c r="J201" i="14" s="1"/>
  <c r="H199" i="14"/>
  <c r="I198" i="14"/>
  <c r="J200" i="14" s="1"/>
  <c r="H198" i="14"/>
  <c r="I197" i="14"/>
  <c r="J198" i="14" s="1"/>
  <c r="H197" i="14"/>
  <c r="I196" i="14"/>
  <c r="H196" i="14"/>
  <c r="I195" i="14"/>
  <c r="J197" i="14" s="1"/>
  <c r="H195" i="14"/>
  <c r="I194" i="14"/>
  <c r="J196" i="14" s="1"/>
  <c r="H194" i="14"/>
  <c r="I193" i="14"/>
  <c r="J195" i="14" s="1"/>
  <c r="H193" i="14"/>
  <c r="I192" i="14"/>
  <c r="J194" i="14" s="1"/>
  <c r="H192" i="14"/>
  <c r="I191" i="14"/>
  <c r="J193" i="14" s="1"/>
  <c r="H191" i="14"/>
  <c r="H190" i="14"/>
  <c r="I190" i="14" s="1"/>
  <c r="J192" i="14" s="1"/>
  <c r="I189" i="14"/>
  <c r="J191" i="14" s="1"/>
  <c r="H189" i="14"/>
  <c r="I188" i="14"/>
  <c r="J190" i="14" s="1"/>
  <c r="H188" i="14"/>
  <c r="I187" i="14"/>
  <c r="H187" i="14"/>
  <c r="I186" i="14"/>
  <c r="J188" i="14" s="1"/>
  <c r="H186" i="14"/>
  <c r="I185" i="14"/>
  <c r="J187" i="14" s="1"/>
  <c r="H185" i="14"/>
  <c r="H184" i="14"/>
  <c r="I184" i="14" s="1"/>
  <c r="J186" i="14" s="1"/>
  <c r="I183" i="14"/>
  <c r="J185" i="14" s="1"/>
  <c r="H183" i="14"/>
  <c r="I182" i="14"/>
  <c r="J184" i="14" s="1"/>
  <c r="H182" i="14"/>
  <c r="H181" i="14"/>
  <c r="I181" i="14" s="1"/>
  <c r="J183" i="14" s="1"/>
  <c r="H180" i="14"/>
  <c r="I180" i="14" s="1"/>
  <c r="I179" i="14"/>
  <c r="H179" i="14"/>
  <c r="I178" i="14"/>
  <c r="H178" i="14"/>
  <c r="H177" i="14"/>
  <c r="I177" i="14" s="1"/>
  <c r="J179" i="14" s="1"/>
  <c r="I176" i="14"/>
  <c r="J178" i="14" s="1"/>
  <c r="H176" i="14"/>
  <c r="H175" i="14"/>
  <c r="I175" i="14" s="1"/>
  <c r="J177" i="14" s="1"/>
  <c r="H174" i="14"/>
  <c r="I174" i="14" s="1"/>
  <c r="J176" i="14" s="1"/>
  <c r="H173" i="14"/>
  <c r="I173" i="14" s="1"/>
  <c r="J175" i="14" s="1"/>
  <c r="H172" i="14"/>
  <c r="I172" i="14" s="1"/>
  <c r="J174" i="14" s="1"/>
  <c r="H171" i="14"/>
  <c r="I171" i="14" s="1"/>
  <c r="J170" i="14"/>
  <c r="H170" i="14"/>
  <c r="I170" i="14" s="1"/>
  <c r="I169" i="14"/>
  <c r="H169" i="14"/>
  <c r="I168" i="14"/>
  <c r="H168" i="14"/>
  <c r="H167" i="14"/>
  <c r="I167" i="14" s="1"/>
  <c r="J169" i="14" s="1"/>
  <c r="H166" i="14"/>
  <c r="I166" i="14" s="1"/>
  <c r="J168" i="14" s="1"/>
  <c r="I165" i="14"/>
  <c r="J167" i="14" s="1"/>
  <c r="H165" i="14"/>
  <c r="I164" i="14"/>
  <c r="H164" i="14"/>
  <c r="H163" i="14"/>
  <c r="I163" i="14" s="1"/>
  <c r="J165" i="14" s="1"/>
  <c r="H162" i="14"/>
  <c r="I162" i="14" s="1"/>
  <c r="J164" i="14" s="1"/>
  <c r="I161" i="14"/>
  <c r="J162" i="14" s="1"/>
  <c r="H161" i="14"/>
  <c r="I160" i="14"/>
  <c r="H160" i="14"/>
  <c r="I159" i="14"/>
  <c r="H159" i="14"/>
  <c r="I158" i="14"/>
  <c r="J160" i="14" s="1"/>
  <c r="H158" i="14"/>
  <c r="H157" i="14"/>
  <c r="I157" i="14" s="1"/>
  <c r="H156" i="14"/>
  <c r="I156" i="14" s="1"/>
  <c r="J158" i="14" s="1"/>
  <c r="I155" i="14"/>
  <c r="J157" i="14" s="1"/>
  <c r="H155" i="14"/>
  <c r="H154" i="14"/>
  <c r="I154" i="14" s="1"/>
  <c r="J156" i="14" s="1"/>
  <c r="H153" i="14"/>
  <c r="I153" i="14" s="1"/>
  <c r="J155" i="14" s="1"/>
  <c r="H152" i="14"/>
  <c r="I152" i="14" s="1"/>
  <c r="J154" i="14" s="1"/>
  <c r="H151" i="14"/>
  <c r="I151" i="14" s="1"/>
  <c r="J153" i="14" s="1"/>
  <c r="I150" i="14"/>
  <c r="H150" i="14"/>
  <c r="H149" i="14"/>
  <c r="I149" i="14" s="1"/>
  <c r="J151" i="14" s="1"/>
  <c r="H148" i="14"/>
  <c r="I148" i="14" s="1"/>
  <c r="J150" i="14" s="1"/>
  <c r="H147" i="14"/>
  <c r="I147" i="14" s="1"/>
  <c r="I146" i="14"/>
  <c r="H146" i="14"/>
  <c r="H145" i="14"/>
  <c r="I145" i="14" s="1"/>
  <c r="H144" i="14"/>
  <c r="I144" i="14" s="1"/>
  <c r="J146" i="14" s="1"/>
  <c r="H143" i="14"/>
  <c r="I143" i="14" s="1"/>
  <c r="J142" i="14"/>
  <c r="H142" i="14"/>
  <c r="I142" i="14" s="1"/>
  <c r="J144" i="14" s="1"/>
  <c r="I141" i="14"/>
  <c r="H141" i="14"/>
  <c r="H140" i="14"/>
  <c r="I140" i="14" s="1"/>
  <c r="H139" i="14"/>
  <c r="I139" i="14" s="1"/>
  <c r="J141" i="14" s="1"/>
  <c r="H138" i="14"/>
  <c r="I138" i="14" s="1"/>
  <c r="J140" i="14" s="1"/>
  <c r="H137" i="14"/>
  <c r="I137" i="14" s="1"/>
  <c r="J139" i="14" s="1"/>
  <c r="I136" i="14"/>
  <c r="J138" i="14" s="1"/>
  <c r="H136" i="14"/>
  <c r="I135" i="14"/>
  <c r="H135" i="14"/>
  <c r="H134" i="14"/>
  <c r="I134" i="14" s="1"/>
  <c r="I133" i="14"/>
  <c r="H133" i="14"/>
  <c r="H132" i="14"/>
  <c r="I132" i="14" s="1"/>
  <c r="J134" i="14" s="1"/>
  <c r="H131" i="14"/>
  <c r="I131" i="14" s="1"/>
  <c r="J133" i="14" s="1"/>
  <c r="I130" i="14"/>
  <c r="J132" i="14" s="1"/>
  <c r="H130" i="14"/>
  <c r="H129" i="14"/>
  <c r="I129" i="14" s="1"/>
  <c r="J131" i="14" s="1"/>
  <c r="H128" i="14"/>
  <c r="I128" i="14" s="1"/>
  <c r="H127" i="14"/>
  <c r="I127" i="14" s="1"/>
  <c r="H126" i="14"/>
  <c r="I126" i="14" s="1"/>
  <c r="J128" i="14" s="1"/>
  <c r="H125" i="14"/>
  <c r="I125" i="14" s="1"/>
  <c r="J127" i="14" s="1"/>
  <c r="I124" i="14"/>
  <c r="J124" i="14" s="1"/>
  <c r="H124" i="14"/>
  <c r="H123" i="14"/>
  <c r="I123" i="14" s="1"/>
  <c r="H122" i="14"/>
  <c r="I122" i="14" s="1"/>
  <c r="H121" i="14"/>
  <c r="I121" i="14" s="1"/>
  <c r="J123" i="14" s="1"/>
  <c r="H120" i="14"/>
  <c r="I120" i="14" s="1"/>
  <c r="J122" i="14" s="1"/>
  <c r="H119" i="14"/>
  <c r="I119" i="14" s="1"/>
  <c r="J121" i="14" s="1"/>
  <c r="H118" i="14"/>
  <c r="I118" i="14" s="1"/>
  <c r="H117" i="14"/>
  <c r="I117" i="14" s="1"/>
  <c r="H116" i="14"/>
  <c r="I116" i="14" s="1"/>
  <c r="J118" i="14" s="1"/>
  <c r="H115" i="14"/>
  <c r="I115" i="14" s="1"/>
  <c r="J117" i="14" s="1"/>
  <c r="H114" i="14"/>
  <c r="I114" i="14" s="1"/>
  <c r="J116" i="14" s="1"/>
  <c r="H113" i="14"/>
  <c r="I113" i="14" s="1"/>
  <c r="J115" i="14" s="1"/>
  <c r="H112" i="14"/>
  <c r="I112" i="14" s="1"/>
  <c r="J114" i="14" s="1"/>
  <c r="H111" i="14"/>
  <c r="I111" i="14" s="1"/>
  <c r="J113" i="14" s="1"/>
  <c r="H110" i="14"/>
  <c r="I110" i="14" s="1"/>
  <c r="J112" i="14" s="1"/>
  <c r="H109" i="14"/>
  <c r="I109" i="14" s="1"/>
  <c r="J111" i="14" s="1"/>
  <c r="I108" i="14"/>
  <c r="J110" i="14" s="1"/>
  <c r="H108" i="14"/>
  <c r="I107" i="14"/>
  <c r="J109" i="14" s="1"/>
  <c r="H107" i="14"/>
  <c r="H106" i="14"/>
  <c r="I106" i="14" s="1"/>
  <c r="J108" i="14" s="1"/>
  <c r="I105" i="14"/>
  <c r="J107" i="14" s="1"/>
  <c r="H105" i="14"/>
  <c r="H104" i="14"/>
  <c r="I104" i="14" s="1"/>
  <c r="H103" i="14"/>
  <c r="I103" i="14" s="1"/>
  <c r="J105" i="14" s="1"/>
  <c r="H102" i="14"/>
  <c r="I102" i="14" s="1"/>
  <c r="J104" i="14" s="1"/>
  <c r="H101" i="14"/>
  <c r="I101" i="14" s="1"/>
  <c r="J103" i="14" s="1"/>
  <c r="H100" i="14"/>
  <c r="I100" i="14" s="1"/>
  <c r="I99" i="14"/>
  <c r="H99" i="14"/>
  <c r="H98" i="14"/>
  <c r="I98" i="14" s="1"/>
  <c r="J100" i="14" s="1"/>
  <c r="H97" i="14"/>
  <c r="I97" i="14" s="1"/>
  <c r="J99" i="14" s="1"/>
  <c r="H96" i="14"/>
  <c r="I96" i="14" s="1"/>
  <c r="H95" i="14"/>
  <c r="I95" i="14" s="1"/>
  <c r="J97" i="14" s="1"/>
  <c r="H94" i="14"/>
  <c r="I94" i="14" s="1"/>
  <c r="H93" i="14"/>
  <c r="I93" i="14" s="1"/>
  <c r="J95" i="14" s="1"/>
  <c r="H92" i="14"/>
  <c r="I92" i="14" s="1"/>
  <c r="J94" i="14" s="1"/>
  <c r="H91" i="14"/>
  <c r="I91" i="14" s="1"/>
  <c r="J93" i="14" s="1"/>
  <c r="H90" i="14"/>
  <c r="I90" i="14" s="1"/>
  <c r="J92" i="14" s="1"/>
  <c r="H89" i="14"/>
  <c r="I89" i="14" s="1"/>
  <c r="J91" i="14" s="1"/>
  <c r="H88" i="14"/>
  <c r="I88" i="14" s="1"/>
  <c r="J87" i="14"/>
  <c r="I87" i="14"/>
  <c r="H87" i="14"/>
  <c r="H86" i="14"/>
  <c r="I86" i="14" s="1"/>
  <c r="H85" i="14"/>
  <c r="I85" i="14" s="1"/>
  <c r="H84" i="14"/>
  <c r="I84" i="14" s="1"/>
  <c r="J86" i="14" s="1"/>
  <c r="H83" i="14"/>
  <c r="I83" i="14" s="1"/>
  <c r="J85" i="14" s="1"/>
  <c r="H82" i="14"/>
  <c r="I82" i="14" s="1"/>
  <c r="J84" i="14" s="1"/>
  <c r="H81" i="14"/>
  <c r="I81" i="14" s="1"/>
  <c r="J83" i="14" s="1"/>
  <c r="I80" i="14"/>
  <c r="J82" i="14" s="1"/>
  <c r="H80" i="14"/>
  <c r="H79" i="14"/>
  <c r="I79" i="14" s="1"/>
  <c r="H78" i="14"/>
  <c r="I78" i="14" s="1"/>
  <c r="J80" i="14" s="1"/>
  <c r="I77" i="14"/>
  <c r="J79" i="14" s="1"/>
  <c r="H77" i="14"/>
  <c r="H76" i="14"/>
  <c r="I76" i="14" s="1"/>
  <c r="H75" i="14"/>
  <c r="I75" i="14" s="1"/>
  <c r="H74" i="14"/>
  <c r="I74" i="14" s="1"/>
  <c r="J76" i="14" s="1"/>
  <c r="H73" i="14"/>
  <c r="I73" i="14" s="1"/>
  <c r="J75" i="14" s="1"/>
  <c r="H72" i="14"/>
  <c r="I72" i="14" s="1"/>
  <c r="J74" i="14" s="1"/>
  <c r="H71" i="14"/>
  <c r="I71" i="14" s="1"/>
  <c r="J73" i="14" s="1"/>
  <c r="H70" i="14"/>
  <c r="I70" i="14" s="1"/>
  <c r="H69" i="14"/>
  <c r="I69" i="14" s="1"/>
  <c r="H68" i="14"/>
  <c r="I68" i="14" s="1"/>
  <c r="J70" i="14" s="1"/>
  <c r="H67" i="14"/>
  <c r="I67" i="14" s="1"/>
  <c r="J69" i="14" s="1"/>
  <c r="H66" i="14"/>
  <c r="I66" i="14" s="1"/>
  <c r="J68" i="14" s="1"/>
  <c r="H65" i="14"/>
  <c r="I65" i="14" s="1"/>
  <c r="J67" i="14" s="1"/>
  <c r="H64" i="14"/>
  <c r="I64" i="14" s="1"/>
  <c r="J66" i="14" s="1"/>
  <c r="I63" i="14"/>
  <c r="H63" i="14"/>
  <c r="H62" i="14"/>
  <c r="I62" i="14" s="1"/>
  <c r="H61" i="14"/>
  <c r="I61" i="14" s="1"/>
  <c r="H60" i="14"/>
  <c r="I60" i="14" s="1"/>
  <c r="J62" i="14" s="1"/>
  <c r="H59" i="14"/>
  <c r="I59" i="14" s="1"/>
  <c r="J61" i="14" s="1"/>
  <c r="H58" i="14"/>
  <c r="I58" i="14" s="1"/>
  <c r="J60" i="14" s="1"/>
  <c r="H57" i="14"/>
  <c r="I57" i="14" s="1"/>
  <c r="J59" i="14" s="1"/>
  <c r="H56" i="14"/>
  <c r="I56" i="14" s="1"/>
  <c r="J58" i="14" s="1"/>
  <c r="H55" i="14"/>
  <c r="I55" i="14" s="1"/>
  <c r="J57" i="14" s="1"/>
  <c r="H54" i="14"/>
  <c r="I54" i="14" s="1"/>
  <c r="H53" i="14"/>
  <c r="I53" i="14" s="1"/>
  <c r="I52" i="14"/>
  <c r="J54" i="14" s="1"/>
  <c r="H52" i="14"/>
  <c r="H51" i="14"/>
  <c r="I51" i="14" s="1"/>
  <c r="J53" i="14" s="1"/>
  <c r="H50" i="14"/>
  <c r="I50" i="14" s="1"/>
  <c r="J52" i="14" s="1"/>
  <c r="I49" i="14"/>
  <c r="J51" i="14" s="1"/>
  <c r="H49" i="14"/>
  <c r="H48" i="14"/>
  <c r="I48" i="14" s="1"/>
  <c r="J49" i="14" s="1"/>
  <c r="H47" i="14"/>
  <c r="I47" i="14" s="1"/>
  <c r="H46" i="14"/>
  <c r="I46" i="14" s="1"/>
  <c r="J48" i="14" s="1"/>
  <c r="H45" i="14"/>
  <c r="I45" i="14" s="1"/>
  <c r="H44" i="14"/>
  <c r="I44" i="14" s="1"/>
  <c r="H43" i="14"/>
  <c r="I43" i="14" s="1"/>
  <c r="J45" i="14" s="1"/>
  <c r="H42" i="14"/>
  <c r="I42" i="14" s="1"/>
  <c r="J44" i="14" s="1"/>
  <c r="H41" i="14"/>
  <c r="I41" i="14" s="1"/>
  <c r="J40" i="14"/>
  <c r="I40" i="14"/>
  <c r="H40" i="14"/>
  <c r="H39" i="14"/>
  <c r="I39" i="14" s="1"/>
  <c r="H38" i="14"/>
  <c r="I38" i="14" s="1"/>
  <c r="H37" i="14"/>
  <c r="I37" i="14" s="1"/>
  <c r="J39" i="14" s="1"/>
  <c r="H36" i="14"/>
  <c r="I36" i="14" s="1"/>
  <c r="J38" i="14" s="1"/>
  <c r="H35" i="14"/>
  <c r="I35" i="14" s="1"/>
  <c r="J37" i="14" s="1"/>
  <c r="H34" i="14"/>
  <c r="I34" i="14" s="1"/>
  <c r="J36" i="14" s="1"/>
  <c r="H33" i="14"/>
  <c r="I33" i="14" s="1"/>
  <c r="J35" i="14" s="1"/>
  <c r="H32" i="14"/>
  <c r="I32" i="14" s="1"/>
  <c r="J34" i="14" s="1"/>
  <c r="H31" i="14"/>
  <c r="I31" i="14" s="1"/>
  <c r="J33" i="14" s="1"/>
  <c r="H30" i="14"/>
  <c r="I30" i="14" s="1"/>
  <c r="H29" i="14"/>
  <c r="I29" i="14" s="1"/>
  <c r="H28" i="14"/>
  <c r="I28" i="14" s="1"/>
  <c r="J30" i="14" s="1"/>
  <c r="I27" i="14"/>
  <c r="H27" i="14"/>
  <c r="H26" i="14"/>
  <c r="I26" i="14" s="1"/>
  <c r="J28" i="14" s="1"/>
  <c r="H25" i="14"/>
  <c r="I25" i="14" s="1"/>
  <c r="J27" i="14" s="1"/>
  <c r="I24" i="14"/>
  <c r="J26" i="14" s="1"/>
  <c r="H24" i="14"/>
  <c r="H23" i="14"/>
  <c r="I23" i="14" s="1"/>
  <c r="J25" i="14" s="1"/>
  <c r="H22" i="14"/>
  <c r="I22" i="14" s="1"/>
  <c r="J24" i="14" s="1"/>
  <c r="I21" i="14"/>
  <c r="H21" i="14"/>
  <c r="H20" i="14"/>
  <c r="I20" i="14" s="1"/>
  <c r="H19" i="14"/>
  <c r="I19" i="14" s="1"/>
  <c r="J21" i="14" s="1"/>
  <c r="H18" i="14"/>
  <c r="I18" i="14" s="1"/>
  <c r="J20" i="14" s="1"/>
  <c r="I17" i="14"/>
  <c r="H17" i="14"/>
  <c r="H16" i="14"/>
  <c r="I16" i="14" s="1"/>
  <c r="J18" i="14" s="1"/>
  <c r="H15" i="14"/>
  <c r="I15" i="14" s="1"/>
  <c r="J17" i="14" s="1"/>
  <c r="H14" i="14"/>
  <c r="I14" i="14" s="1"/>
  <c r="J16" i="14" s="1"/>
  <c r="I13" i="14"/>
  <c r="J15" i="14" s="1"/>
  <c r="H13" i="14"/>
  <c r="H12" i="14"/>
  <c r="I12" i="14" s="1"/>
  <c r="J14" i="14" s="1"/>
  <c r="H11" i="14"/>
  <c r="I11" i="14" s="1"/>
  <c r="J13" i="14" s="1"/>
  <c r="H10" i="14"/>
  <c r="I10" i="14" s="1"/>
  <c r="J12" i="14" s="1"/>
  <c r="H9" i="14"/>
  <c r="I9" i="14" s="1"/>
  <c r="J11" i="14" s="1"/>
  <c r="H8" i="14"/>
  <c r="I8" i="14" s="1"/>
  <c r="J10" i="14" s="1"/>
  <c r="H7" i="14"/>
  <c r="I7" i="14" s="1"/>
  <c r="H6" i="14"/>
  <c r="I6" i="14" s="1"/>
  <c r="H5" i="14"/>
  <c r="I5" i="14" s="1"/>
  <c r="H4" i="14"/>
  <c r="I4" i="14" s="1"/>
  <c r="J6" i="14" s="1"/>
  <c r="H3" i="14"/>
  <c r="I3" i="14" s="1"/>
  <c r="J5" i="14" s="1"/>
  <c r="H2" i="14"/>
  <c r="I2" i="14" s="1"/>
  <c r="J4" i="14" s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173" i="14" l="1"/>
  <c r="J171" i="14"/>
  <c r="J90" i="14"/>
  <c r="J88" i="14"/>
  <c r="J89" i="14"/>
  <c r="J71" i="14"/>
  <c r="J119" i="14"/>
  <c r="J63" i="14"/>
  <c r="J64" i="14"/>
  <c r="J136" i="14"/>
  <c r="J135" i="14"/>
  <c r="J43" i="14"/>
  <c r="J41" i="14"/>
  <c r="J22" i="14"/>
  <c r="J46" i="14"/>
  <c r="J23" i="14"/>
  <c r="J47" i="14"/>
  <c r="J72" i="14"/>
  <c r="J120" i="14"/>
  <c r="J98" i="14"/>
  <c r="J96" i="14"/>
  <c r="J143" i="14"/>
  <c r="J145" i="14"/>
  <c r="J102" i="14"/>
  <c r="J101" i="14"/>
  <c r="J149" i="14"/>
  <c r="J147" i="14"/>
  <c r="J148" i="14"/>
  <c r="J7" i="14"/>
  <c r="J8" i="14"/>
  <c r="J31" i="14"/>
  <c r="J55" i="14"/>
  <c r="J81" i="14"/>
  <c r="J129" i="14"/>
  <c r="J9" i="14"/>
  <c r="J32" i="14"/>
  <c r="J56" i="14"/>
  <c r="J106" i="14"/>
  <c r="J130" i="14"/>
  <c r="J125" i="14"/>
  <c r="J137" i="14"/>
  <c r="J77" i="14"/>
  <c r="J78" i="14"/>
  <c r="J163" i="14"/>
  <c r="J152" i="14"/>
  <c r="J166" i="14"/>
  <c r="J181" i="14"/>
  <c r="J182" i="14"/>
  <c r="J180" i="14"/>
  <c r="J126" i="14"/>
  <c r="J161" i="14"/>
  <c r="J50" i="14"/>
  <c r="J159" i="14"/>
  <c r="J29" i="14"/>
  <c r="J42" i="14"/>
  <c r="J172" i="14"/>
  <c r="J19" i="14"/>
  <c r="J65" i="14"/>
  <c r="J189" i="14"/>
  <c r="J199" i="14"/>
  <c r="I4" i="3"/>
  <c r="I18" i="3"/>
  <c r="I19" i="3"/>
  <c r="I20" i="3"/>
  <c r="I21" i="3"/>
  <c r="I32" i="3"/>
  <c r="I33" i="3"/>
  <c r="I34" i="3"/>
  <c r="I35" i="3"/>
  <c r="I46" i="3"/>
  <c r="I47" i="3"/>
  <c r="I48" i="3"/>
  <c r="I49" i="3"/>
  <c r="I60" i="3"/>
  <c r="I61" i="3"/>
  <c r="I62" i="3"/>
  <c r="I63" i="3"/>
  <c r="I74" i="3"/>
  <c r="I75" i="3"/>
  <c r="I76" i="3"/>
  <c r="I77" i="3"/>
  <c r="I88" i="3"/>
  <c r="I89" i="3"/>
  <c r="I90" i="3"/>
  <c r="I91" i="3"/>
  <c r="I102" i="3"/>
  <c r="I103" i="3"/>
  <c r="I104" i="3"/>
  <c r="I105" i="3"/>
  <c r="I116" i="3"/>
  <c r="I117" i="3"/>
  <c r="I118" i="3"/>
  <c r="I119" i="3"/>
  <c r="I130" i="3"/>
  <c r="I131" i="3"/>
  <c r="I132" i="3"/>
  <c r="I133" i="3"/>
  <c r="I144" i="3"/>
  <c r="I145" i="3"/>
  <c r="I146" i="3"/>
  <c r="I147" i="3"/>
  <c r="I158" i="3"/>
  <c r="I159" i="3"/>
  <c r="I160" i="3"/>
  <c r="I161" i="3"/>
  <c r="I172" i="3"/>
  <c r="I173" i="3"/>
  <c r="I174" i="3"/>
  <c r="I175" i="3"/>
  <c r="I186" i="3"/>
  <c r="I187" i="3"/>
  <c r="I188" i="3"/>
  <c r="I189" i="3"/>
  <c r="I200" i="3"/>
  <c r="I201" i="3"/>
  <c r="H2" i="3"/>
  <c r="I2" i="3" s="1"/>
  <c r="H3" i="3"/>
  <c r="I3" i="3" s="1"/>
  <c r="H4" i="3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H19" i="3"/>
  <c r="H20" i="3"/>
  <c r="H21" i="3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H33" i="3"/>
  <c r="H34" i="3"/>
  <c r="H35" i="3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H47" i="3"/>
  <c r="H48" i="3"/>
  <c r="H49" i="3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H61" i="3"/>
  <c r="H62" i="3"/>
  <c r="H63" i="3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H75" i="3"/>
  <c r="H76" i="3"/>
  <c r="H77" i="3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H89" i="3"/>
  <c r="H90" i="3"/>
  <c r="H91" i="3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H103" i="3"/>
  <c r="H104" i="3"/>
  <c r="H105" i="3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H117" i="3"/>
  <c r="H118" i="3"/>
  <c r="H119" i="3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I128" i="3" s="1"/>
  <c r="H129" i="3"/>
  <c r="I129" i="3" s="1"/>
  <c r="H130" i="3"/>
  <c r="H131" i="3"/>
  <c r="H132" i="3"/>
  <c r="H133" i="3"/>
  <c r="H134" i="3"/>
  <c r="I134" i="3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H145" i="3"/>
  <c r="H146" i="3"/>
  <c r="H147" i="3"/>
  <c r="H148" i="3"/>
  <c r="I148" i="3" s="1"/>
  <c r="H149" i="3"/>
  <c r="I149" i="3" s="1"/>
  <c r="H150" i="3"/>
  <c r="I150" i="3" s="1"/>
  <c r="H151" i="3"/>
  <c r="I151" i="3" s="1"/>
  <c r="H152" i="3"/>
  <c r="I152" i="3" s="1"/>
  <c r="H153" i="3"/>
  <c r="I153" i="3" s="1"/>
  <c r="H154" i="3"/>
  <c r="I154" i="3" s="1"/>
  <c r="H155" i="3"/>
  <c r="I155" i="3" s="1"/>
  <c r="H156" i="3"/>
  <c r="I156" i="3" s="1"/>
  <c r="H157" i="3"/>
  <c r="I157" i="3" s="1"/>
  <c r="H158" i="3"/>
  <c r="H159" i="3"/>
  <c r="H160" i="3"/>
  <c r="H161" i="3"/>
  <c r="H162" i="3"/>
  <c r="I162" i="3" s="1"/>
  <c r="H163" i="3"/>
  <c r="I163" i="3" s="1"/>
  <c r="H164" i="3"/>
  <c r="I164" i="3" s="1"/>
  <c r="H165" i="3"/>
  <c r="I165" i="3" s="1"/>
  <c r="H166" i="3"/>
  <c r="I166" i="3" s="1"/>
  <c r="H167" i="3"/>
  <c r="I167" i="3" s="1"/>
  <c r="H168" i="3"/>
  <c r="I168" i="3" s="1"/>
  <c r="H169" i="3"/>
  <c r="I169" i="3" s="1"/>
  <c r="H170" i="3"/>
  <c r="I170" i="3" s="1"/>
  <c r="H171" i="3"/>
  <c r="I171" i="3" s="1"/>
  <c r="H172" i="3"/>
  <c r="H173" i="3"/>
  <c r="H174" i="3"/>
  <c r="H175" i="3"/>
  <c r="H176" i="3"/>
  <c r="I176" i="3" s="1"/>
  <c r="H177" i="3"/>
  <c r="I177" i="3" s="1"/>
  <c r="H178" i="3"/>
  <c r="I178" i="3" s="1"/>
  <c r="H179" i="3"/>
  <c r="I179" i="3" s="1"/>
  <c r="H180" i="3"/>
  <c r="I180" i="3" s="1"/>
  <c r="H181" i="3"/>
  <c r="I181" i="3" s="1"/>
  <c r="H182" i="3"/>
  <c r="I182" i="3" s="1"/>
  <c r="H183" i="3"/>
  <c r="I183" i="3" s="1"/>
  <c r="H184" i="3"/>
  <c r="I184" i="3" s="1"/>
  <c r="H185" i="3"/>
  <c r="I185" i="3" s="1"/>
  <c r="H186" i="3"/>
  <c r="H187" i="3"/>
  <c r="H188" i="3"/>
  <c r="H189" i="3"/>
  <c r="H190" i="3"/>
  <c r="I190" i="3" s="1"/>
  <c r="H191" i="3"/>
  <c r="I191" i="3" s="1"/>
  <c r="H192" i="3"/>
  <c r="I192" i="3" s="1"/>
  <c r="H193" i="3"/>
  <c r="I193" i="3" s="1"/>
  <c r="H194" i="3"/>
  <c r="I194" i="3" s="1"/>
  <c r="H195" i="3"/>
  <c r="I195" i="3" s="1"/>
  <c r="H196" i="3"/>
  <c r="I196" i="3" s="1"/>
  <c r="H197" i="3"/>
  <c r="I197" i="3" s="1"/>
  <c r="H198" i="3"/>
  <c r="I198" i="3" s="1"/>
  <c r="H199" i="3"/>
  <c r="I199" i="3" s="1"/>
  <c r="H200" i="3"/>
  <c r="H201" i="3"/>
  <c r="I2" i="4"/>
  <c r="I3" i="4"/>
  <c r="I4" i="4"/>
  <c r="I5" i="4"/>
  <c r="I6" i="4"/>
  <c r="I7" i="4"/>
  <c r="H2" i="4"/>
  <c r="H3" i="4"/>
  <c r="H4" i="4"/>
  <c r="H5" i="4"/>
  <c r="H6" i="4"/>
  <c r="H7" i="4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F05FD-64C7-48A6-A301-DB8F3C6664D0}" name="Excel Task 3" type="100" refreshedVersion="0">
    <extLst>
      <ext xmlns:x15="http://schemas.microsoft.com/office/spreadsheetml/2010/11/main" uri="{DE250136-89BD-433C-8126-D09CA5730AF9}">
        <x15:connection id="4da4d15d-9946-4ec4-bdee-5b1bdc7c5673"/>
      </ext>
    </extLst>
  </connection>
  <connection id="2" xr16:uid="{2B6D48F6-769D-45B3-AE5E-0E3F37D8BE7E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3" xr16:uid="{076BFFC7-E3DB-4EF0-B6CE-5BEAB1722B79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4" xr16:uid="{86036DDE-D9E9-4E4D-B6A2-3513FD540298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5" xr16:uid="{400A975E-F585-4A6D-B79E-B2441112B310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6" xr16:uid="{AA1199EE-C63B-41AE-9E41-1FD62A3EEC3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80D79919-7AB3-4B90-8B5E-176A36E4BCF2}" name="WorksheetConnection_Task 6.xlsx!Campaign_Metadata" type="102" refreshedVersion="8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Task6.xlsxCampaign_Metadata"/>
        </x15:connection>
      </ext>
    </extLst>
  </connection>
  <connection id="8" xr16:uid="{1D8D2D19-C134-4CF3-AE29-D3C37CAE8B0C}" name="WorksheetConnection_Task 6.xlsx!Posts" type="102" refreshedVersion="8" minRefreshableVersion="5">
    <extLst>
      <ext xmlns:x15="http://schemas.microsoft.com/office/spreadsheetml/2010/11/main" uri="{DE250136-89BD-433C-8126-D09CA5730AF9}">
        <x15:connection id="Posts 1">
          <x15:rangePr sourceName="_xlcn.WorksheetConnection_Task6.xlsxPosts"/>
        </x15:connection>
      </ext>
    </extLst>
  </connection>
</connections>
</file>

<file path=xl/sharedStrings.xml><?xml version="1.0" encoding="utf-8"?>
<sst xmlns="http://schemas.openxmlformats.org/spreadsheetml/2006/main" count="2288" uniqueCount="395">
  <si>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</si>
  <si>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</si>
  <si>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</si>
  <si>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</si>
  <si>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</si>
  <si>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</si>
  <si>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</si>
  <si>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</si>
  <si>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</si>
  <si>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</si>
  <si>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</si>
  <si>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</si>
  <si>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</si>
  <si>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</si>
  <si>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P220</t>
  </si>
  <si>
    <t>Instagram</t>
  </si>
  <si>
    <t>Story</t>
  </si>
  <si>
    <t>Check out our latest story on instagram!</t>
  </si>
  <si>
    <t>#ThirstyForMore</t>
  </si>
  <si>
    <t>Not Available</t>
  </si>
  <si>
    <t>P058</t>
  </si>
  <si>
    <t>Reel</t>
  </si>
  <si>
    <t>Check out our latest reel on instagram!</t>
  </si>
  <si>
    <t>#PepsiCoRefresh</t>
  </si>
  <si>
    <t>DailyWellness</t>
  </si>
  <si>
    <t>P232</t>
  </si>
  <si>
    <t>Twitter</t>
  </si>
  <si>
    <t>Check out our latest story on twitter!</t>
  </si>
  <si>
    <t>P178</t>
  </si>
  <si>
    <t>Video</t>
  </si>
  <si>
    <t>Check out our latest video on instagram!</t>
  </si>
  <si>
    <t>P175</t>
  </si>
  <si>
    <t>#LiveForNow</t>
  </si>
  <si>
    <t>P062</t>
  </si>
  <si>
    <t>Carousel</t>
  </si>
  <si>
    <t>Check out our latest carousel on twitter!</t>
  </si>
  <si>
    <t>NewYearRefresh</t>
  </si>
  <si>
    <t>P264</t>
  </si>
  <si>
    <t>Image</t>
  </si>
  <si>
    <t>Check out our latest image on twitter!</t>
  </si>
  <si>
    <t>FestiveRadiance</t>
  </si>
  <si>
    <t>P143</t>
  </si>
  <si>
    <t>YouTube</t>
  </si>
  <si>
    <t>Check out our latest carousel on youtube!</t>
  </si>
  <si>
    <t>P210</t>
  </si>
  <si>
    <t>Check out our latest image on youtube!</t>
  </si>
  <si>
    <t>SummerSplash</t>
  </si>
  <si>
    <t>P070</t>
  </si>
  <si>
    <t>Facebook</t>
  </si>
  <si>
    <t>Check out our latest video on facebook!</t>
  </si>
  <si>
    <t>P214</t>
  </si>
  <si>
    <t>Check out our latest image on instagram!</t>
  </si>
  <si>
    <t>P053</t>
  </si>
  <si>
    <t>P102</t>
  </si>
  <si>
    <t>Check out our latest reel on twitter!</t>
  </si>
  <si>
    <t>P124</t>
  </si>
  <si>
    <t>P121</t>
  </si>
  <si>
    <t>P224</t>
  </si>
  <si>
    <t>Check out our latest image on facebook!</t>
  </si>
  <si>
    <t>P154</t>
  </si>
  <si>
    <t>Check out our latest carousel on instagram!</t>
  </si>
  <si>
    <t>P119</t>
  </si>
  <si>
    <t>P287</t>
  </si>
  <si>
    <t>P204</t>
  </si>
  <si>
    <t>P066</t>
  </si>
  <si>
    <t>P183</t>
  </si>
  <si>
    <t>P031</t>
  </si>
  <si>
    <t>Text</t>
  </si>
  <si>
    <t>Check out our latest text on instagram!</t>
  </si>
  <si>
    <t>P093</t>
  </si>
  <si>
    <t>P263</t>
  </si>
  <si>
    <t>P248</t>
  </si>
  <si>
    <t>Check out our latest story on facebook!</t>
  </si>
  <si>
    <t>P244</t>
  </si>
  <si>
    <t>Check out our latest video on youtube!</t>
  </si>
  <si>
    <t>P259</t>
  </si>
  <si>
    <t>Check out our latest text on facebook!</t>
  </si>
  <si>
    <t>P219</t>
  </si>
  <si>
    <t>P226</t>
  </si>
  <si>
    <t>P265</t>
  </si>
  <si>
    <t>P239</t>
  </si>
  <si>
    <t>Check out our latest text on youtube!</t>
  </si>
  <si>
    <t>P277</t>
  </si>
  <si>
    <t>P297</t>
  </si>
  <si>
    <t>Check out our latest text on twitter!</t>
  </si>
  <si>
    <t>P181</t>
  </si>
  <si>
    <t>P246</t>
  </si>
  <si>
    <t>P123</t>
  </si>
  <si>
    <t>P120</t>
  </si>
  <si>
    <t>P141</t>
  </si>
  <si>
    <t>P163</t>
  </si>
  <si>
    <t>P269</t>
  </si>
  <si>
    <t>P042</t>
  </si>
  <si>
    <t>Check out our latest reel on youtube!</t>
  </si>
  <si>
    <t>P043</t>
  </si>
  <si>
    <t>P159</t>
  </si>
  <si>
    <t>P146</t>
  </si>
  <si>
    <t>P029</t>
  </si>
  <si>
    <t>P137</t>
  </si>
  <si>
    <t>P087</t>
  </si>
  <si>
    <t>Check out our latest video on twitter!</t>
  </si>
  <si>
    <t>P271</t>
  </si>
  <si>
    <t>P077</t>
  </si>
  <si>
    <t>P136</t>
  </si>
  <si>
    <t>P258</t>
  </si>
  <si>
    <t>P276</t>
  </si>
  <si>
    <t>P148</t>
  </si>
  <si>
    <t>P198</t>
  </si>
  <si>
    <t>P152</t>
  </si>
  <si>
    <t>P286</t>
  </si>
  <si>
    <t>P068</t>
  </si>
  <si>
    <t>P085</t>
  </si>
  <si>
    <t>P032</t>
  </si>
  <si>
    <t>P218</t>
  </si>
  <si>
    <t>Check out our latest carousel on facebook!</t>
  </si>
  <si>
    <t>P211</t>
  </si>
  <si>
    <t>P242</t>
  </si>
  <si>
    <t>Check out our latest reel on facebook!</t>
  </si>
  <si>
    <t>P041</t>
  </si>
  <si>
    <t>P294</t>
  </si>
  <si>
    <t>P006</t>
  </si>
  <si>
    <t>P153</t>
  </si>
  <si>
    <t>P037</t>
  </si>
  <si>
    <t>P241</t>
  </si>
  <si>
    <t>P112</t>
  </si>
  <si>
    <t>P129</t>
  </si>
  <si>
    <t>P028</t>
  </si>
  <si>
    <t>P046</t>
  </si>
  <si>
    <t>P089</t>
  </si>
  <si>
    <t>P094</t>
  </si>
  <si>
    <t>P116</t>
  </si>
  <si>
    <t>P275</t>
  </si>
  <si>
    <t>P109</t>
  </si>
  <si>
    <t>P047</t>
  </si>
  <si>
    <t>P295</t>
  </si>
  <si>
    <t>P054</t>
  </si>
  <si>
    <t>P060</t>
  </si>
  <si>
    <t>P083</t>
  </si>
  <si>
    <t>P138</t>
  </si>
  <si>
    <t>P221</t>
  </si>
  <si>
    <t>P252</t>
  </si>
  <si>
    <t>P052</t>
  </si>
  <si>
    <t>P140</t>
  </si>
  <si>
    <t>P165</t>
  </si>
  <si>
    <t>P164</t>
  </si>
  <si>
    <t>P262</t>
  </si>
  <si>
    <t>P147</t>
  </si>
  <si>
    <t>P004</t>
  </si>
  <si>
    <t>P014</t>
  </si>
  <si>
    <t>P192</t>
  </si>
  <si>
    <t>P173</t>
  </si>
  <si>
    <t>P166</t>
  </si>
  <si>
    <t>P207</t>
  </si>
  <si>
    <t>P061</t>
  </si>
  <si>
    <t>P125</t>
  </si>
  <si>
    <t>P272</t>
  </si>
  <si>
    <t>P040</t>
  </si>
  <si>
    <t>P299</t>
  </si>
  <si>
    <t>P174</t>
  </si>
  <si>
    <t>P104</t>
  </si>
  <si>
    <t>Check out our latest story on youtube!</t>
  </si>
  <si>
    <t>P195</t>
  </si>
  <si>
    <t>P184</t>
  </si>
  <si>
    <t>P092</t>
  </si>
  <si>
    <t>P088</t>
  </si>
  <si>
    <t>P285</t>
  </si>
  <si>
    <t>P050</t>
  </si>
  <si>
    <t>P132</t>
  </si>
  <si>
    <t>P229</t>
  </si>
  <si>
    <t>P074</t>
  </si>
  <si>
    <t>P254</t>
  </si>
  <si>
    <t>P131</t>
  </si>
  <si>
    <t>P236</t>
  </si>
  <si>
    <t>P114</t>
  </si>
  <si>
    <t>P056</t>
  </si>
  <si>
    <t>P105</t>
  </si>
  <si>
    <t>P012</t>
  </si>
  <si>
    <t>P235</t>
  </si>
  <si>
    <t>P033</t>
  </si>
  <si>
    <t>P038</t>
  </si>
  <si>
    <t>P196</t>
  </si>
  <si>
    <t>P128</t>
  </si>
  <si>
    <t>P169</t>
  </si>
  <si>
    <t>P293</t>
  </si>
  <si>
    <t>P292</t>
  </si>
  <si>
    <t>P212</t>
  </si>
  <si>
    <t>P110</t>
  </si>
  <si>
    <t>P245</t>
  </si>
  <si>
    <t>P075</t>
  </si>
  <si>
    <t>P255</t>
  </si>
  <si>
    <t>P071</t>
  </si>
  <si>
    <t>P065</t>
  </si>
  <si>
    <t>P247</t>
  </si>
  <si>
    <t>P035</t>
  </si>
  <si>
    <t>P117</t>
  </si>
  <si>
    <t>P251</t>
  </si>
  <si>
    <t>P011</t>
  </si>
  <si>
    <t>P161</t>
  </si>
  <si>
    <t>P155</t>
  </si>
  <si>
    <t>P284</t>
  </si>
  <si>
    <t>P113</t>
  </si>
  <si>
    <t>P158</t>
  </si>
  <si>
    <t>P098</t>
  </si>
  <si>
    <t>P227</t>
  </si>
  <si>
    <t>P222</t>
  </si>
  <si>
    <t>P278</t>
  </si>
  <si>
    <t>P151</t>
  </si>
  <si>
    <t>P156</t>
  </si>
  <si>
    <t>P157</t>
  </si>
  <si>
    <t>P206</t>
  </si>
  <si>
    <t>P282</t>
  </si>
  <si>
    <t>P049</t>
  </si>
  <si>
    <t>P205</t>
  </si>
  <si>
    <t>P008</t>
  </si>
  <si>
    <t>P096</t>
  </si>
  <si>
    <t>P018</t>
  </si>
  <si>
    <t>P182</t>
  </si>
  <si>
    <t>P266</t>
  </si>
  <si>
    <t>P019</t>
  </si>
  <si>
    <t>P108</t>
  </si>
  <si>
    <t>P126</t>
  </si>
  <si>
    <t>P103</t>
  </si>
  <si>
    <t>P191</t>
  </si>
  <si>
    <t>P193</t>
  </si>
  <si>
    <t>P167</t>
  </si>
  <si>
    <t>P044</t>
  </si>
  <si>
    <t>P171</t>
  </si>
  <si>
    <t>P273</t>
  </si>
  <si>
    <t>P243</t>
  </si>
  <si>
    <t>P185</t>
  </si>
  <si>
    <t>P081</t>
  </si>
  <si>
    <t>P017</t>
  </si>
  <si>
    <t>P139</t>
  </si>
  <si>
    <t>P069</t>
  </si>
  <si>
    <t>P059</t>
  </si>
  <si>
    <t>P100</t>
  </si>
  <si>
    <t>P055</t>
  </si>
  <si>
    <t>P177</t>
  </si>
  <si>
    <t>P160</t>
  </si>
  <si>
    <t>P001</t>
  </si>
  <si>
    <t>P201</t>
  </si>
  <si>
    <t>P180</t>
  </si>
  <si>
    <t>P026</t>
  </si>
  <si>
    <t>P130</t>
  </si>
  <si>
    <t>P079</t>
  </si>
  <si>
    <t>P072</t>
  </si>
  <si>
    <t>P009</t>
  </si>
  <si>
    <t>P260</t>
  </si>
  <si>
    <t>P249</t>
  </si>
  <si>
    <t>P097</t>
  </si>
  <si>
    <t>P253</t>
  </si>
  <si>
    <t>P084</t>
  </si>
  <si>
    <t>P162</t>
  </si>
  <si>
    <t>P208</t>
  </si>
  <si>
    <t>P240</t>
  </si>
  <si>
    <t>P231</t>
  </si>
  <si>
    <t>P106</t>
  </si>
  <si>
    <t>P082</t>
  </si>
  <si>
    <t>P199</t>
  </si>
  <si>
    <t>P188</t>
  </si>
  <si>
    <t>P186</t>
  </si>
  <si>
    <t>P194</t>
  </si>
  <si>
    <t>P268</t>
  </si>
  <si>
    <t>P290</t>
  </si>
  <si>
    <t>P187</t>
  </si>
  <si>
    <t>P300</t>
  </si>
  <si>
    <t>P280</t>
  </si>
  <si>
    <t>P261</t>
  </si>
  <si>
    <t>P209</t>
  </si>
  <si>
    <t>P213</t>
  </si>
  <si>
    <t>P202</t>
  </si>
  <si>
    <t>P078</t>
  </si>
  <si>
    <t>P064</t>
  </si>
  <si>
    <t>P228</t>
  </si>
  <si>
    <t>P076</t>
  </si>
  <si>
    <t>P057</t>
  </si>
  <si>
    <t>P122</t>
  </si>
  <si>
    <t>P022</t>
  </si>
  <si>
    <t>P118</t>
  </si>
  <si>
    <t>P257</t>
  </si>
  <si>
    <t>P091</t>
  </si>
  <si>
    <t>P274</t>
  </si>
  <si>
    <t>P051</t>
  </si>
  <si>
    <t>P080</t>
  </si>
  <si>
    <t>P230</t>
  </si>
  <si>
    <t>P149</t>
  </si>
  <si>
    <t>P021</t>
  </si>
  <si>
    <t>P023</t>
  </si>
  <si>
    <t>P036</t>
  </si>
  <si>
    <t>P002</t>
  </si>
  <si>
    <t>P234</t>
  </si>
  <si>
    <t>P013</t>
  </si>
  <si>
    <t>P016</t>
  </si>
  <si>
    <t>P179</t>
  </si>
  <si>
    <t>P045</t>
  </si>
  <si>
    <t>P168</t>
  </si>
  <si>
    <t>P111</t>
  </si>
  <si>
    <t>P101</t>
  </si>
  <si>
    <t>P048</t>
  </si>
  <si>
    <t>P250</t>
  </si>
  <si>
    <t>P289</t>
  </si>
  <si>
    <t>P233</t>
  </si>
  <si>
    <t>P172</t>
  </si>
  <si>
    <t>P238</t>
  </si>
  <si>
    <t>P189</t>
  </si>
  <si>
    <t>P039</t>
  </si>
  <si>
    <t>P215</t>
  </si>
  <si>
    <t>P024</t>
  </si>
  <si>
    <t>P099</t>
  </si>
  <si>
    <t>P010</t>
  </si>
  <si>
    <t>P291</t>
  </si>
  <si>
    <t>P133</t>
  </si>
  <si>
    <t>P027</t>
  </si>
  <si>
    <t>P134</t>
  </si>
  <si>
    <t>P090</t>
  </si>
  <si>
    <t>P034</t>
  </si>
  <si>
    <t>P007</t>
  </si>
  <si>
    <t>P142</t>
  </si>
  <si>
    <t>P127</t>
  </si>
  <si>
    <t>P170</t>
  </si>
  <si>
    <t>P095</t>
  </si>
  <si>
    <t>P288</t>
  </si>
  <si>
    <t>P237</t>
  </si>
  <si>
    <t>P270</t>
  </si>
  <si>
    <t>P005</t>
  </si>
  <si>
    <t>P086</t>
  </si>
  <si>
    <t>P144</t>
  </si>
  <si>
    <t>P197</t>
  </si>
  <si>
    <t>P135</t>
  </si>
  <si>
    <t>P073</t>
  </si>
  <si>
    <t>P267</t>
  </si>
  <si>
    <t>P020</t>
  </si>
  <si>
    <t>P067</t>
  </si>
  <si>
    <t>P150</t>
  </si>
  <si>
    <t>P281</t>
  </si>
  <si>
    <t>P217</t>
  </si>
  <si>
    <t>P200</t>
  </si>
  <si>
    <t>P107</t>
  </si>
  <si>
    <t>P115</t>
  </si>
  <si>
    <t>P223</t>
  </si>
  <si>
    <t>P279</t>
  </si>
  <si>
    <t>P025</t>
  </si>
  <si>
    <t>P015</t>
  </si>
  <si>
    <t>P296</t>
  </si>
  <si>
    <t>P298</t>
  </si>
  <si>
    <t>P216</t>
  </si>
  <si>
    <t>P283</t>
  </si>
  <si>
    <t>P256</t>
  </si>
  <si>
    <t>P030</t>
  </si>
  <si>
    <t>P203</t>
  </si>
  <si>
    <t>P225</t>
  </si>
  <si>
    <t>P145</t>
  </si>
  <si>
    <t>P190</t>
  </si>
  <si>
    <t>P003</t>
  </si>
  <si>
    <t>P176</t>
  </si>
  <si>
    <t>P063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</si>
  <si>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</si>
  <si>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</si>
  <si>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</si>
  <si>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</si>
  <si>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</si>
  <si>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</si>
  <si>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</si>
  <si>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</si>
  <si>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</si>
  <si>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</si>
  <si>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</si>
  <si>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</si>
  <si>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</si>
  <si>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Instagram,Facebook</t>
  </si>
  <si>
    <t>Engagement</t>
  </si>
  <si>
    <t>Instagram,YouTube</t>
  </si>
  <si>
    <t>#AnytimeIsPepsiTime</t>
  </si>
  <si>
    <t>Product Launch</t>
  </si>
  <si>
    <t>Facebook,Twitter</t>
  </si>
  <si>
    <t>#SmoothLikeNitroPepsi</t>
  </si>
  <si>
    <t>Traffic</t>
  </si>
  <si>
    <t>Instagram,Twitter</t>
  </si>
  <si>
    <t>#BetterWithPepsi</t>
  </si>
  <si>
    <t>Row Labels</t>
  </si>
  <si>
    <t>Grand Total</t>
  </si>
  <si>
    <t>Column Labels</t>
  </si>
  <si>
    <t>Campaign Segregation</t>
  </si>
  <si>
    <t xml:space="preserve"> Average Engagement Rate</t>
  </si>
  <si>
    <t>ROI</t>
  </si>
  <si>
    <t>net followers</t>
  </si>
  <si>
    <t>growth rate</t>
  </si>
  <si>
    <t>Sum of growth rate</t>
  </si>
  <si>
    <t>Column 1</t>
  </si>
  <si>
    <t>Column 2</t>
  </si>
  <si>
    <t>Column 3</t>
  </si>
  <si>
    <t>Moving Average</t>
  </si>
  <si>
    <t>Sum of net followers</t>
  </si>
  <si>
    <t>The week starting from 23-12-2024 to 30-12-2024 has the highest net follower gain</t>
  </si>
  <si>
    <t>Here the scatter plot showing almost zero corelation between ad spend and follower growth rate so there no empact of ad spend on 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</si>
</sst>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6.1'!$B$5:$B$55</c:f>
              <c:numCache>
                <c:formatCode>General</c:formatCode>
                <c:ptCount val="50"/>
                <c:pt idx="0">
                  <c:v>2.3491348994232664E-2</c:v>
                </c:pt>
                <c:pt idx="1">
                  <c:v>4.0530081660374974E-3</c:v>
                </c:pt>
                <c:pt idx="2">
                  <c:v>8.1535847453627231E-3</c:v>
                </c:pt>
                <c:pt idx="3">
                  <c:v>6.3510173036698994E-2</c:v>
                </c:pt>
                <c:pt idx="4">
                  <c:v>2.9088264703208797E-4</c:v>
                </c:pt>
                <c:pt idx="5">
                  <c:v>1.2276812319721568E-3</c:v>
                </c:pt>
                <c:pt idx="6">
                  <c:v>-4.9009939454794306E-4</c:v>
                </c:pt>
                <c:pt idx="7">
                  <c:v>3.2572737872501967E-3</c:v>
                </c:pt>
                <c:pt idx="8">
                  <c:v>-7.3097734889686784E-4</c:v>
                </c:pt>
                <c:pt idx="9">
                  <c:v>-1.5755714445670778E-3</c:v>
                </c:pt>
                <c:pt idx="10">
                  <c:v>4.3366318609156986E-3</c:v>
                </c:pt>
                <c:pt idx="11">
                  <c:v>5.7523759813836147E-3</c:v>
                </c:pt>
                <c:pt idx="12">
                  <c:v>9.7527544941747058E-5</c:v>
                </c:pt>
                <c:pt idx="13">
                  <c:v>2.1026918479944948E-3</c:v>
                </c:pt>
                <c:pt idx="14">
                  <c:v>4.6435400163889647E-3</c:v>
                </c:pt>
                <c:pt idx="15">
                  <c:v>2.0668041724136477E-4</c:v>
                </c:pt>
                <c:pt idx="16">
                  <c:v>-7.9248226299566635E-5</c:v>
                </c:pt>
                <c:pt idx="17">
                  <c:v>-3.9477485703195471E-4</c:v>
                </c:pt>
                <c:pt idx="18">
                  <c:v>4.3810281972675247E-3</c:v>
                </c:pt>
                <c:pt idx="19">
                  <c:v>1.8083871090552605E-3</c:v>
                </c:pt>
                <c:pt idx="20">
                  <c:v>1.8687212668142345E-2</c:v>
                </c:pt>
                <c:pt idx="21">
                  <c:v>1.8382090319876945E-3</c:v>
                </c:pt>
                <c:pt idx="22">
                  <c:v>1.6918035252172713E-3</c:v>
                </c:pt>
                <c:pt idx="23">
                  <c:v>-3.4250669665215861E-4</c:v>
                </c:pt>
                <c:pt idx="24">
                  <c:v>2.1248528096751631E-4</c:v>
                </c:pt>
                <c:pt idx="25">
                  <c:v>3.9565022381564839E-3</c:v>
                </c:pt>
                <c:pt idx="26">
                  <c:v>3.6277109484146308E-3</c:v>
                </c:pt>
                <c:pt idx="27">
                  <c:v>3.8307014117515761E-2</c:v>
                </c:pt>
                <c:pt idx="28">
                  <c:v>3.311568846722701E-3</c:v>
                </c:pt>
                <c:pt idx="29">
                  <c:v>7.8202834584935772E-3</c:v>
                </c:pt>
                <c:pt idx="30">
                  <c:v>4.6806929323118035E-3</c:v>
                </c:pt>
                <c:pt idx="31">
                  <c:v>6.4766839378238338E-3</c:v>
                </c:pt>
                <c:pt idx="32">
                  <c:v>1.3262186302564765E-3</c:v>
                </c:pt>
                <c:pt idx="33">
                  <c:v>8.9052952094934197E-4</c:v>
                </c:pt>
                <c:pt idx="34">
                  <c:v>2.7948348464241365E-3</c:v>
                </c:pt>
                <c:pt idx="35">
                  <c:v>5.5005257855530306E-3</c:v>
                </c:pt>
                <c:pt idx="36">
                  <c:v>2.9427518601934728E-3</c:v>
                </c:pt>
                <c:pt idx="37">
                  <c:v>1.5147617822744291E-2</c:v>
                </c:pt>
                <c:pt idx="38">
                  <c:v>7.4073109768798169E-3</c:v>
                </c:pt>
                <c:pt idx="39">
                  <c:v>-3.2435585380545735E-4</c:v>
                </c:pt>
                <c:pt idx="40">
                  <c:v>2.6639909400836752E-3</c:v>
                </c:pt>
                <c:pt idx="41">
                  <c:v>3.2619275185675578E-3</c:v>
                </c:pt>
                <c:pt idx="42">
                  <c:v>1.268716241173857E-3</c:v>
                </c:pt>
                <c:pt idx="43">
                  <c:v>1.3889264193260734E-3</c:v>
                </c:pt>
                <c:pt idx="44">
                  <c:v>1.0436528865268368E-2</c:v>
                </c:pt>
                <c:pt idx="45">
                  <c:v>-2.4750024750024749E-3</c:v>
                </c:pt>
                <c:pt idx="46">
                  <c:v>2.7690774864725927E-3</c:v>
                </c:pt>
                <c:pt idx="47">
                  <c:v>2.014855668727483E-3</c:v>
                </c:pt>
                <c:pt idx="48">
                  <c:v>8.0965664826031301E-4</c:v>
                </c:pt>
                <c:pt idx="49">
                  <c:v>1.1156186612576065E-3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A-48B7-86A2-3B34F4495CF3}"/>
            </c:ext>
          </c:extLst>
        </c:ser>
        <c:ser>
          <c:idx val="1"/>
          <c:order val="1"/>
          <c:tx>
            <c:strRef>
              <c:f>'Task 6.1'!$C$3:$C$4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6.1'!$C$5:$C$55</c:f>
              <c:numCache>
                <c:formatCode>General</c:formatCode>
                <c:ptCount val="50"/>
                <c:pt idx="0">
                  <c:v>3.0428616268120576E-3</c:v>
                </c:pt>
                <c:pt idx="1">
                  <c:v>1.0517322049758936E-2</c:v>
                </c:pt>
                <c:pt idx="2">
                  <c:v>1.9542790614208243E-3</c:v>
                </c:pt>
                <c:pt idx="3">
                  <c:v>1.7636832660385824E-2</c:v>
                </c:pt>
                <c:pt idx="4">
                  <c:v>-5.2211602419375983E-4</c:v>
                </c:pt>
                <c:pt idx="5">
                  <c:v>2.8717173625543171E-2</c:v>
                </c:pt>
                <c:pt idx="6">
                  <c:v>1.1967386439556591E-2</c:v>
                </c:pt>
                <c:pt idx="7">
                  <c:v>3.3557613568250698E-4</c:v>
                </c:pt>
                <c:pt idx="8">
                  <c:v>2.2861730899256253E-2</c:v>
                </c:pt>
                <c:pt idx="9">
                  <c:v>8.0371168669857163E-4</c:v>
                </c:pt>
                <c:pt idx="10">
                  <c:v>2.7085701202809553E-3</c:v>
                </c:pt>
                <c:pt idx="11">
                  <c:v>2.335271198731579E-4</c:v>
                </c:pt>
                <c:pt idx="12">
                  <c:v>3.5456226214689766E-3</c:v>
                </c:pt>
                <c:pt idx="13">
                  <c:v>1.2306082974775983E-2</c:v>
                </c:pt>
                <c:pt idx="14">
                  <c:v>4.1581361392816901E-3</c:v>
                </c:pt>
                <c:pt idx="15">
                  <c:v>7.4222825979957871E-3</c:v>
                </c:pt>
                <c:pt idx="16">
                  <c:v>1.5758651286601596E-3</c:v>
                </c:pt>
                <c:pt idx="17">
                  <c:v>2.7682576721248606E-3</c:v>
                </c:pt>
                <c:pt idx="18">
                  <c:v>1.0000908202133741E-2</c:v>
                </c:pt>
                <c:pt idx="19">
                  <c:v>3.1501331857780751E-3</c:v>
                </c:pt>
                <c:pt idx="20">
                  <c:v>7.3371064356504961E-4</c:v>
                </c:pt>
                <c:pt idx="21">
                  <c:v>1.6622321237901201E-3</c:v>
                </c:pt>
                <c:pt idx="22">
                  <c:v>2.5430053699827069E-2</c:v>
                </c:pt>
                <c:pt idx="23">
                  <c:v>1.7550345364335054E-2</c:v>
                </c:pt>
                <c:pt idx="24">
                  <c:v>-9.5914811987394058E-4</c:v>
                </c:pt>
                <c:pt idx="25">
                  <c:v>5.9936417126309005E-3</c:v>
                </c:pt>
                <c:pt idx="26">
                  <c:v>3.8511033114748661E-3</c:v>
                </c:pt>
                <c:pt idx="27">
                  <c:v>5.0721615839286359E-3</c:v>
                </c:pt>
                <c:pt idx="28">
                  <c:v>3.0759118725472716E-3</c:v>
                </c:pt>
                <c:pt idx="29">
                  <c:v>2.4359408109118751E-3</c:v>
                </c:pt>
                <c:pt idx="30">
                  <c:v>1.253515525127127E-2</c:v>
                </c:pt>
                <c:pt idx="31">
                  <c:v>1.9361810704529763E-3</c:v>
                </c:pt>
                <c:pt idx="32">
                  <c:v>4.9282654051223049E-3</c:v>
                </c:pt>
                <c:pt idx="33">
                  <c:v>4.0971536250166149E-3</c:v>
                </c:pt>
                <c:pt idx="34">
                  <c:v>-4.6464109274628077E-4</c:v>
                </c:pt>
                <c:pt idx="35">
                  <c:v>3.0720567989168156E-3</c:v>
                </c:pt>
                <c:pt idx="36">
                  <c:v>7.7568587198256845E-3</c:v>
                </c:pt>
                <c:pt idx="37">
                  <c:v>2.1291007252180398E-3</c:v>
                </c:pt>
                <c:pt idx="38">
                  <c:v>1.0867503398564699E-2</c:v>
                </c:pt>
                <c:pt idx="39">
                  <c:v>5.1052298518124532E-3</c:v>
                </c:pt>
                <c:pt idx="40">
                  <c:v>4.5873346287504706E-4</c:v>
                </c:pt>
                <c:pt idx="41">
                  <c:v>1.6572027392586454E-3</c:v>
                </c:pt>
                <c:pt idx="42">
                  <c:v>1.2636715002329981E-3</c:v>
                </c:pt>
                <c:pt idx="43">
                  <c:v>2.2667798288422093E-3</c:v>
                </c:pt>
                <c:pt idx="44">
                  <c:v>2.1195852212872357E-3</c:v>
                </c:pt>
                <c:pt idx="45">
                  <c:v>-2.3994481269308059E-3</c:v>
                </c:pt>
                <c:pt idx="46">
                  <c:v>9.5802484827301332E-3</c:v>
                </c:pt>
                <c:pt idx="47">
                  <c:v>3.4511059684624078E-3</c:v>
                </c:pt>
                <c:pt idx="48">
                  <c:v>4.1995793722733989E-3</c:v>
                </c:pt>
                <c:pt idx="49">
                  <c:v>3.5361871958419907E-3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A-48B7-86A2-3B34F4495CF3}"/>
            </c:ext>
          </c:extLst>
        </c:ser>
        <c:ser>
          <c:idx val="2"/>
          <c:order val="2"/>
          <c:tx>
            <c:strRef>
              <c:f>'Task 6.1'!$D$3:$D$4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6.1'!$D$5:$D$55</c:f>
              <c:numCache>
                <c:formatCode>General</c:formatCode>
                <c:ptCount val="50"/>
                <c:pt idx="0">
                  <c:v>2.826320879360366E-3</c:v>
                </c:pt>
                <c:pt idx="1">
                  <c:v>7.3128442639386348E-4</c:v>
                </c:pt>
                <c:pt idx="2">
                  <c:v>1.0551445425805821E-2</c:v>
                </c:pt>
                <c:pt idx="3">
                  <c:v>2.798060458211721E-3</c:v>
                </c:pt>
                <c:pt idx="4">
                  <c:v>4.3037693661692649E-3</c:v>
                </c:pt>
                <c:pt idx="5">
                  <c:v>1.40324773607655E-3</c:v>
                </c:pt>
                <c:pt idx="6">
                  <c:v>1.8982132901478749E-3</c:v>
                </c:pt>
                <c:pt idx="7">
                  <c:v>6.6371458255580548E-3</c:v>
                </c:pt>
                <c:pt idx="8">
                  <c:v>5.1986619096302169E-3</c:v>
                </c:pt>
                <c:pt idx="9">
                  <c:v>7.2889860753698943E-4</c:v>
                </c:pt>
                <c:pt idx="10">
                  <c:v>8.5080354946042954E-5</c:v>
                </c:pt>
                <c:pt idx="11">
                  <c:v>8.825634093981077E-3</c:v>
                </c:pt>
                <c:pt idx="12">
                  <c:v>6.5914381026955706E-3</c:v>
                </c:pt>
                <c:pt idx="13">
                  <c:v>6.1798299135137512E-4</c:v>
                </c:pt>
                <c:pt idx="14">
                  <c:v>5.990134708914012E-4</c:v>
                </c:pt>
                <c:pt idx="15">
                  <c:v>2.8673012960201858E-3</c:v>
                </c:pt>
                <c:pt idx="16">
                  <c:v>6.2566104068286429E-3</c:v>
                </c:pt>
                <c:pt idx="17">
                  <c:v>9.2287307798970819E-3</c:v>
                </c:pt>
                <c:pt idx="18">
                  <c:v>2.2456063766826309E-4</c:v>
                </c:pt>
                <c:pt idx="19">
                  <c:v>-6.456361452939582E-5</c:v>
                </c:pt>
                <c:pt idx="20">
                  <c:v>2.4623771231227277E-3</c:v>
                </c:pt>
                <c:pt idx="21">
                  <c:v>1.5381417584701726E-4</c:v>
                </c:pt>
                <c:pt idx="22">
                  <c:v>3.6508153411678964E-3</c:v>
                </c:pt>
                <c:pt idx="23">
                  <c:v>1.3172212358971423E-2</c:v>
                </c:pt>
                <c:pt idx="24">
                  <c:v>9.1277744844858602E-4</c:v>
                </c:pt>
                <c:pt idx="25">
                  <c:v>1.1079079758069075E-3</c:v>
                </c:pt>
                <c:pt idx="26">
                  <c:v>3.7850431101244257E-3</c:v>
                </c:pt>
                <c:pt idx="27">
                  <c:v>8.3806473528412681E-2</c:v>
                </c:pt>
                <c:pt idx="28">
                  <c:v>4.1536387893013997E-3</c:v>
                </c:pt>
                <c:pt idx="29">
                  <c:v>1.1230414576116569E-2</c:v>
                </c:pt>
                <c:pt idx="30">
                  <c:v>5.5634189738421064E-3</c:v>
                </c:pt>
                <c:pt idx="31">
                  <c:v>3.2008104408927781E-3</c:v>
                </c:pt>
                <c:pt idx="32">
                  <c:v>-2.9514486693885583E-4</c:v>
                </c:pt>
                <c:pt idx="33">
                  <c:v>7.1621491270377159E-3</c:v>
                </c:pt>
                <c:pt idx="34">
                  <c:v>5.4309533874905263E-3</c:v>
                </c:pt>
                <c:pt idx="35">
                  <c:v>3.2046588643454949E-3</c:v>
                </c:pt>
                <c:pt idx="36">
                  <c:v>9.4958208908059605E-3</c:v>
                </c:pt>
                <c:pt idx="37">
                  <c:v>-2.5410691720235154E-4</c:v>
                </c:pt>
                <c:pt idx="38">
                  <c:v>2.2333891680625349E-3</c:v>
                </c:pt>
                <c:pt idx="39">
                  <c:v>1.9268070513850934E-3</c:v>
                </c:pt>
                <c:pt idx="40">
                  <c:v>0.10825114265095021</c:v>
                </c:pt>
                <c:pt idx="41">
                  <c:v>6.9173294769824048E-2</c:v>
                </c:pt>
                <c:pt idx="42">
                  <c:v>1.3832962243592781E-3</c:v>
                </c:pt>
                <c:pt idx="43">
                  <c:v>8.4497101083942528E-3</c:v>
                </c:pt>
                <c:pt idx="44">
                  <c:v>3.4032917638311531E-2</c:v>
                </c:pt>
                <c:pt idx="45">
                  <c:v>3.7191155522184875E-4</c:v>
                </c:pt>
                <c:pt idx="46">
                  <c:v>2.2734693021737242E-3</c:v>
                </c:pt>
                <c:pt idx="47">
                  <c:v>1.9454574184929272E-3</c:v>
                </c:pt>
                <c:pt idx="48">
                  <c:v>3.1174901520344203E-3</c:v>
                </c:pt>
                <c:pt idx="49">
                  <c:v>5.8952701962314107E-4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1A-48B7-86A2-3B34F4495CF3}"/>
            </c:ext>
          </c:extLst>
        </c:ser>
        <c:ser>
          <c:idx val="3"/>
          <c:order val="3"/>
          <c:tx>
            <c:strRef>
              <c:f>'Task 6.1'!$E$3:$E$4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6.1'!$A$5:$A$55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6.1'!$E$5:$E$55</c:f>
              <c:numCache>
                <c:formatCode>General</c:formatCode>
                <c:ptCount val="50"/>
                <c:pt idx="0">
                  <c:v>2.7557542170624167E-3</c:v>
                </c:pt>
                <c:pt idx="1">
                  <c:v>2.4016739232334168E-3</c:v>
                </c:pt>
                <c:pt idx="2">
                  <c:v>8.80238003818718E-4</c:v>
                </c:pt>
                <c:pt idx="3">
                  <c:v>-2.8860773750305035E-4</c:v>
                </c:pt>
                <c:pt idx="4">
                  <c:v>8.0050669434719116E-4</c:v>
                </c:pt>
                <c:pt idx="5">
                  <c:v>2.1994574101175039E-3</c:v>
                </c:pt>
                <c:pt idx="6">
                  <c:v>1.0211701333265254E-3</c:v>
                </c:pt>
                <c:pt idx="7">
                  <c:v>1.0340418313957282E-3</c:v>
                </c:pt>
                <c:pt idx="8">
                  <c:v>7.600121601945631E-3</c:v>
                </c:pt>
                <c:pt idx="9">
                  <c:v>9.9485420240137223E-4</c:v>
                </c:pt>
                <c:pt idx="10">
                  <c:v>1.011348268360087E-2</c:v>
                </c:pt>
                <c:pt idx="11">
                  <c:v>2.1728440241071327E-3</c:v>
                </c:pt>
                <c:pt idx="12">
                  <c:v>1.1713324743561855E-4</c:v>
                </c:pt>
                <c:pt idx="13">
                  <c:v>8.9764429025449434E-4</c:v>
                </c:pt>
                <c:pt idx="14">
                  <c:v>1.7032345973398571E-2</c:v>
                </c:pt>
                <c:pt idx="15">
                  <c:v>-2.6681341404439108E-4</c:v>
                </c:pt>
                <c:pt idx="16">
                  <c:v>1.592351646960128E-2</c:v>
                </c:pt>
                <c:pt idx="17">
                  <c:v>1.8079694785926241E-2</c:v>
                </c:pt>
                <c:pt idx="18">
                  <c:v>1.0019784829366461E-3</c:v>
                </c:pt>
                <c:pt idx="19">
                  <c:v>1.8425729749269497E-3</c:v>
                </c:pt>
                <c:pt idx="20">
                  <c:v>5.7763419096181542E-3</c:v>
                </c:pt>
                <c:pt idx="21">
                  <c:v>5.4180958515762179E-3</c:v>
                </c:pt>
                <c:pt idx="22">
                  <c:v>4.0317597627286209E-3</c:v>
                </c:pt>
                <c:pt idx="23">
                  <c:v>2.8821299683708945E-3</c:v>
                </c:pt>
                <c:pt idx="24">
                  <c:v>1.9887634863023914E-4</c:v>
                </c:pt>
                <c:pt idx="25">
                  <c:v>1.4152074838090669E-2</c:v>
                </c:pt>
                <c:pt idx="26">
                  <c:v>1.3151115811166245E-3</c:v>
                </c:pt>
                <c:pt idx="27">
                  <c:v>1.2679964770499277E-3</c:v>
                </c:pt>
                <c:pt idx="28">
                  <c:v>1.7917737946946315E-3</c:v>
                </c:pt>
                <c:pt idx="29">
                  <c:v>6.3113158835445049E-2</c:v>
                </c:pt>
                <c:pt idx="30">
                  <c:v>1.0669005078738719E-2</c:v>
                </c:pt>
                <c:pt idx="31">
                  <c:v>8.8669950738916262E-3</c:v>
                </c:pt>
                <c:pt idx="32">
                  <c:v>6.2409087760615087E-2</c:v>
                </c:pt>
                <c:pt idx="33">
                  <c:v>2.1486931256659019E-3</c:v>
                </c:pt>
                <c:pt idx="34">
                  <c:v>2.6534161921203288E-3</c:v>
                </c:pt>
                <c:pt idx="35">
                  <c:v>-7.4972485467156139E-4</c:v>
                </c:pt>
                <c:pt idx="36">
                  <c:v>2.9756017144741179E-3</c:v>
                </c:pt>
                <c:pt idx="37">
                  <c:v>1.1086997546706926E-2</c:v>
                </c:pt>
                <c:pt idx="38">
                  <c:v>2.1885278918832756E-3</c:v>
                </c:pt>
                <c:pt idx="39">
                  <c:v>1.4029055733207443E-3</c:v>
                </c:pt>
                <c:pt idx="40">
                  <c:v>1.2622336046830695E-2</c:v>
                </c:pt>
                <c:pt idx="41">
                  <c:v>7.9689298043728429E-2</c:v>
                </c:pt>
                <c:pt idx="42">
                  <c:v>8.8022790888170322E-4</c:v>
                </c:pt>
                <c:pt idx="43">
                  <c:v>3.3667947287974553E-3</c:v>
                </c:pt>
                <c:pt idx="44">
                  <c:v>7.1981098934404211E-4</c:v>
                </c:pt>
                <c:pt idx="45">
                  <c:v>3.9239564305527366E-4</c:v>
                </c:pt>
                <c:pt idx="46">
                  <c:v>6.0267642955734836E-3</c:v>
                </c:pt>
                <c:pt idx="47">
                  <c:v>5.5706165282028861E-2</c:v>
                </c:pt>
                <c:pt idx="48">
                  <c:v>5.8190830903102836E-3</c:v>
                </c:pt>
                <c:pt idx="49">
                  <c:v>-4.0819787301048958E-3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A-48B7-86A2-3B34F4495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83248"/>
        <c:axId val="126553056"/>
      </c:lineChart>
      <c:catAx>
        <c:axId val="1157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56"/>
        <c:crosses val="autoZero"/>
        <c:auto val="1"/>
        <c:lblAlgn val="ctr"/>
        <c:lblOffset val="100"/>
        <c:noMultiLvlLbl val="0"/>
      </c:catAx>
      <c:valAx>
        <c:axId val="1265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8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6.2'!$B$3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6.2'!$A$4:$A$54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6.2'!$B$4:$B$54</c:f>
              <c:numCache>
                <c:formatCode>General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5-462E-9A74-A01EB2471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144560"/>
        <c:axId val="1100145520"/>
      </c:barChart>
      <c:catAx>
        <c:axId val="11001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45520"/>
        <c:crosses val="autoZero"/>
        <c:auto val="1"/>
        <c:lblAlgn val="ctr"/>
        <c:lblOffset val="100"/>
        <c:noMultiLvlLbl val="0"/>
      </c:catAx>
      <c:valAx>
        <c:axId val="11001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'Task 6.3'!$I$2:$I$201</c:f>
              <c:numCache>
                <c:formatCode>General</c:formatCode>
                <c:ptCount val="200"/>
                <c:pt idx="0">
                  <c:v>3.0428616268120576E-3</c:v>
                </c:pt>
                <c:pt idx="1">
                  <c:v>2.3491348994232664E-2</c:v>
                </c:pt>
                <c:pt idx="2">
                  <c:v>2.826320879360366E-3</c:v>
                </c:pt>
                <c:pt idx="3">
                  <c:v>2.7557542170624167E-3</c:v>
                </c:pt>
                <c:pt idx="4">
                  <c:v>1.0517322049758936E-2</c:v>
                </c:pt>
                <c:pt idx="5">
                  <c:v>4.0530081660374974E-3</c:v>
                </c:pt>
                <c:pt idx="6">
                  <c:v>7.3128442639386348E-4</c:v>
                </c:pt>
                <c:pt idx="7">
                  <c:v>2.4016739232334168E-3</c:v>
                </c:pt>
                <c:pt idx="8">
                  <c:v>1.9542790614208243E-3</c:v>
                </c:pt>
                <c:pt idx="9">
                  <c:v>8.1535847453627231E-3</c:v>
                </c:pt>
                <c:pt idx="10">
                  <c:v>1.0551445425805821E-2</c:v>
                </c:pt>
                <c:pt idx="11">
                  <c:v>8.80238003818718E-4</c:v>
                </c:pt>
                <c:pt idx="12">
                  <c:v>1.7636832660385824E-2</c:v>
                </c:pt>
                <c:pt idx="13">
                  <c:v>6.3510173036698994E-2</c:v>
                </c:pt>
                <c:pt idx="14">
                  <c:v>2.798060458211721E-3</c:v>
                </c:pt>
                <c:pt idx="15">
                  <c:v>-2.8860773750305035E-4</c:v>
                </c:pt>
                <c:pt idx="16">
                  <c:v>-5.2211602419375983E-4</c:v>
                </c:pt>
                <c:pt idx="17">
                  <c:v>2.9088264703208797E-4</c:v>
                </c:pt>
                <c:pt idx="18">
                  <c:v>4.3037693661692649E-3</c:v>
                </c:pt>
                <c:pt idx="19">
                  <c:v>8.0050669434719116E-4</c:v>
                </c:pt>
                <c:pt idx="20">
                  <c:v>2.8717173625543171E-2</c:v>
                </c:pt>
                <c:pt idx="21">
                  <c:v>1.2276812319721568E-3</c:v>
                </c:pt>
                <c:pt idx="22">
                  <c:v>1.40324773607655E-3</c:v>
                </c:pt>
                <c:pt idx="23">
                  <c:v>2.1994574101175039E-3</c:v>
                </c:pt>
                <c:pt idx="24">
                  <c:v>1.1967386439556591E-2</c:v>
                </c:pt>
                <c:pt idx="25">
                  <c:v>-4.9009939454794306E-4</c:v>
                </c:pt>
                <c:pt idx="26">
                  <c:v>1.8982132901478749E-3</c:v>
                </c:pt>
                <c:pt idx="27">
                  <c:v>1.0211701333265254E-3</c:v>
                </c:pt>
                <c:pt idx="28">
                  <c:v>3.3557613568250698E-4</c:v>
                </c:pt>
                <c:pt idx="29">
                  <c:v>3.2572737872501967E-3</c:v>
                </c:pt>
                <c:pt idx="30">
                  <c:v>6.6371458255580548E-3</c:v>
                </c:pt>
                <c:pt idx="31">
                  <c:v>1.0340418313957282E-3</c:v>
                </c:pt>
                <c:pt idx="32">
                  <c:v>2.2861730899256253E-2</c:v>
                </c:pt>
                <c:pt idx="33">
                  <c:v>-7.3097734889686784E-4</c:v>
                </c:pt>
                <c:pt idx="34">
                  <c:v>5.1986619096302169E-3</c:v>
                </c:pt>
                <c:pt idx="35">
                  <c:v>7.600121601945631E-3</c:v>
                </c:pt>
                <c:pt idx="36">
                  <c:v>8.0371168669857163E-4</c:v>
                </c:pt>
                <c:pt idx="37">
                  <c:v>-1.5755714445670778E-3</c:v>
                </c:pt>
                <c:pt idx="38">
                  <c:v>7.2889860753698943E-4</c:v>
                </c:pt>
                <c:pt idx="39">
                  <c:v>9.9485420240137223E-4</c:v>
                </c:pt>
                <c:pt idx="40">
                  <c:v>2.7085701202809553E-3</c:v>
                </c:pt>
                <c:pt idx="41">
                  <c:v>4.3366318609156986E-3</c:v>
                </c:pt>
                <c:pt idx="42">
                  <c:v>8.5080354946042954E-5</c:v>
                </c:pt>
                <c:pt idx="43">
                  <c:v>1.011348268360087E-2</c:v>
                </c:pt>
                <c:pt idx="44">
                  <c:v>2.335271198731579E-4</c:v>
                </c:pt>
                <c:pt idx="45">
                  <c:v>5.7523759813836147E-3</c:v>
                </c:pt>
                <c:pt idx="46">
                  <c:v>8.825634093981077E-3</c:v>
                </c:pt>
                <c:pt idx="47">
                  <c:v>2.1728440241071327E-3</c:v>
                </c:pt>
                <c:pt idx="48">
                  <c:v>3.5456226214689766E-3</c:v>
                </c:pt>
                <c:pt idx="49">
                  <c:v>9.7527544941747058E-5</c:v>
                </c:pt>
                <c:pt idx="50">
                  <c:v>6.5914381026955706E-3</c:v>
                </c:pt>
                <c:pt idx="51">
                  <c:v>1.1713324743561855E-4</c:v>
                </c:pt>
                <c:pt idx="52">
                  <c:v>1.2306082974775983E-2</c:v>
                </c:pt>
                <c:pt idx="53">
                  <c:v>2.1026918479944948E-3</c:v>
                </c:pt>
                <c:pt idx="54">
                  <c:v>6.1798299135137512E-4</c:v>
                </c:pt>
                <c:pt idx="55">
                  <c:v>8.9764429025449434E-4</c:v>
                </c:pt>
                <c:pt idx="56">
                  <c:v>4.1581361392816901E-3</c:v>
                </c:pt>
                <c:pt idx="57">
                  <c:v>4.6435400163889647E-3</c:v>
                </c:pt>
                <c:pt idx="58">
                  <c:v>5.990134708914012E-4</c:v>
                </c:pt>
                <c:pt idx="59">
                  <c:v>1.7032345973398571E-2</c:v>
                </c:pt>
                <c:pt idx="60">
                  <c:v>7.4222825979957871E-3</c:v>
                </c:pt>
                <c:pt idx="61">
                  <c:v>2.0668041724136477E-4</c:v>
                </c:pt>
                <c:pt idx="62">
                  <c:v>2.8673012960201858E-3</c:v>
                </c:pt>
                <c:pt idx="63">
                  <c:v>-2.6681341404439108E-4</c:v>
                </c:pt>
                <c:pt idx="64">
                  <c:v>1.5758651286601596E-3</c:v>
                </c:pt>
                <c:pt idx="65">
                  <c:v>-7.9248226299566635E-5</c:v>
                </c:pt>
                <c:pt idx="66">
                  <c:v>6.2566104068286429E-3</c:v>
                </c:pt>
                <c:pt idx="67">
                  <c:v>1.592351646960128E-2</c:v>
                </c:pt>
                <c:pt idx="68">
                  <c:v>2.7682576721248606E-3</c:v>
                </c:pt>
                <c:pt idx="69">
                  <c:v>-3.9477485703195471E-4</c:v>
                </c:pt>
                <c:pt idx="70">
                  <c:v>9.2287307798970819E-3</c:v>
                </c:pt>
                <c:pt idx="71">
                  <c:v>1.8079694785926241E-2</c:v>
                </c:pt>
                <c:pt idx="72">
                  <c:v>1.0000908202133741E-2</c:v>
                </c:pt>
                <c:pt idx="73">
                  <c:v>4.3810281972675247E-3</c:v>
                </c:pt>
                <c:pt idx="74">
                  <c:v>2.2456063766826309E-4</c:v>
                </c:pt>
                <c:pt idx="75">
                  <c:v>1.0019784829366461E-3</c:v>
                </c:pt>
                <c:pt idx="76">
                  <c:v>3.1501331857780751E-3</c:v>
                </c:pt>
                <c:pt idx="77">
                  <c:v>1.8083871090552605E-3</c:v>
                </c:pt>
                <c:pt idx="78">
                  <c:v>-6.456361452939582E-5</c:v>
                </c:pt>
                <c:pt idx="79">
                  <c:v>1.8425729749269497E-3</c:v>
                </c:pt>
                <c:pt idx="80">
                  <c:v>7.3371064356504961E-4</c:v>
                </c:pt>
                <c:pt idx="81">
                  <c:v>1.8687212668142345E-2</c:v>
                </c:pt>
                <c:pt idx="82">
                  <c:v>2.4623771231227277E-3</c:v>
                </c:pt>
                <c:pt idx="83">
                  <c:v>5.7763419096181542E-3</c:v>
                </c:pt>
                <c:pt idx="84">
                  <c:v>1.6622321237901201E-3</c:v>
                </c:pt>
                <c:pt idx="85">
                  <c:v>1.8382090319876945E-3</c:v>
                </c:pt>
                <c:pt idx="86">
                  <c:v>1.5381417584701726E-4</c:v>
                </c:pt>
                <c:pt idx="87">
                  <c:v>5.4180958515762179E-3</c:v>
                </c:pt>
                <c:pt idx="88">
                  <c:v>2.5430053699827069E-2</c:v>
                </c:pt>
                <c:pt idx="89">
                  <c:v>1.6918035252172713E-3</c:v>
                </c:pt>
                <c:pt idx="90">
                  <c:v>3.6508153411678964E-3</c:v>
                </c:pt>
                <c:pt idx="91">
                  <c:v>4.0317597627286209E-3</c:v>
                </c:pt>
                <c:pt idx="92">
                  <c:v>1.7550345364335054E-2</c:v>
                </c:pt>
                <c:pt idx="93">
                  <c:v>-3.4250669665215861E-4</c:v>
                </c:pt>
                <c:pt idx="94">
                  <c:v>1.3172212358971423E-2</c:v>
                </c:pt>
                <c:pt idx="95">
                  <c:v>2.8821299683708945E-3</c:v>
                </c:pt>
                <c:pt idx="96">
                  <c:v>-9.5914811987394058E-4</c:v>
                </c:pt>
                <c:pt idx="97">
                  <c:v>2.1248528096751631E-4</c:v>
                </c:pt>
                <c:pt idx="98">
                  <c:v>9.1277744844858602E-4</c:v>
                </c:pt>
                <c:pt idx="99">
                  <c:v>1.9887634863023914E-4</c:v>
                </c:pt>
                <c:pt idx="100">
                  <c:v>5.9936417126309005E-3</c:v>
                </c:pt>
                <c:pt idx="101">
                  <c:v>3.9565022381564839E-3</c:v>
                </c:pt>
                <c:pt idx="102">
                  <c:v>1.1079079758069075E-3</c:v>
                </c:pt>
                <c:pt idx="103">
                  <c:v>1.4152074838090669E-2</c:v>
                </c:pt>
                <c:pt idx="104">
                  <c:v>3.8511033114748661E-3</c:v>
                </c:pt>
                <c:pt idx="105">
                  <c:v>3.6277109484146308E-3</c:v>
                </c:pt>
                <c:pt idx="106">
                  <c:v>3.7850431101244257E-3</c:v>
                </c:pt>
                <c:pt idx="107">
                  <c:v>1.3151115811166245E-3</c:v>
                </c:pt>
                <c:pt idx="108">
                  <c:v>5.0721615839286359E-3</c:v>
                </c:pt>
                <c:pt idx="109">
                  <c:v>3.8307014117515761E-2</c:v>
                </c:pt>
                <c:pt idx="110">
                  <c:v>8.3806473528412681E-2</c:v>
                </c:pt>
                <c:pt idx="111">
                  <c:v>1.2679964770499277E-3</c:v>
                </c:pt>
                <c:pt idx="112">
                  <c:v>3.0759118725472716E-3</c:v>
                </c:pt>
                <c:pt idx="113">
                  <c:v>3.311568846722701E-3</c:v>
                </c:pt>
                <c:pt idx="114">
                  <c:v>4.1536387893013997E-3</c:v>
                </c:pt>
                <c:pt idx="115">
                  <c:v>1.7917737946946315E-3</c:v>
                </c:pt>
                <c:pt idx="116">
                  <c:v>2.4359408109118751E-3</c:v>
                </c:pt>
                <c:pt idx="117">
                  <c:v>7.8202834584935772E-3</c:v>
                </c:pt>
                <c:pt idx="118">
                  <c:v>1.1230414576116569E-2</c:v>
                </c:pt>
                <c:pt idx="119">
                  <c:v>6.3113158835445049E-2</c:v>
                </c:pt>
                <c:pt idx="120">
                  <c:v>1.253515525127127E-2</c:v>
                </c:pt>
                <c:pt idx="121">
                  <c:v>4.6806929323118035E-3</c:v>
                </c:pt>
                <c:pt idx="122">
                  <c:v>5.5634189738421064E-3</c:v>
                </c:pt>
                <c:pt idx="123">
                  <c:v>1.0669005078738719E-2</c:v>
                </c:pt>
                <c:pt idx="124">
                  <c:v>1.9361810704529763E-3</c:v>
                </c:pt>
                <c:pt idx="125">
                  <c:v>6.4766839378238338E-3</c:v>
                </c:pt>
                <c:pt idx="126">
                  <c:v>3.2008104408927781E-3</c:v>
                </c:pt>
                <c:pt idx="127">
                  <c:v>8.8669950738916262E-3</c:v>
                </c:pt>
                <c:pt idx="128">
                  <c:v>4.9282654051223049E-3</c:v>
                </c:pt>
                <c:pt idx="129">
                  <c:v>1.3262186302564765E-3</c:v>
                </c:pt>
                <c:pt idx="130">
                  <c:v>-2.9514486693885583E-4</c:v>
                </c:pt>
                <c:pt idx="131">
                  <c:v>6.2409087760615087E-2</c:v>
                </c:pt>
                <c:pt idx="132">
                  <c:v>4.0971536250166149E-3</c:v>
                </c:pt>
                <c:pt idx="133">
                  <c:v>8.9052952094934197E-4</c:v>
                </c:pt>
                <c:pt idx="134">
                  <c:v>7.1621491270377159E-3</c:v>
                </c:pt>
                <c:pt idx="135">
                  <c:v>2.1486931256659019E-3</c:v>
                </c:pt>
                <c:pt idx="136">
                  <c:v>-4.6464109274628077E-4</c:v>
                </c:pt>
                <c:pt idx="137">
                  <c:v>2.7948348464241365E-3</c:v>
                </c:pt>
                <c:pt idx="138">
                  <c:v>5.4309533874905263E-3</c:v>
                </c:pt>
                <c:pt idx="139">
                  <c:v>2.6534161921203288E-3</c:v>
                </c:pt>
                <c:pt idx="140">
                  <c:v>3.0720567989168156E-3</c:v>
                </c:pt>
                <c:pt idx="141">
                  <c:v>5.5005257855530306E-3</c:v>
                </c:pt>
                <c:pt idx="142">
                  <c:v>3.2046588643454949E-3</c:v>
                </c:pt>
                <c:pt idx="143">
                  <c:v>-7.4972485467156139E-4</c:v>
                </c:pt>
                <c:pt idx="144">
                  <c:v>7.7568587198256845E-3</c:v>
                </c:pt>
                <c:pt idx="145">
                  <c:v>2.9427518601934728E-3</c:v>
                </c:pt>
                <c:pt idx="146">
                  <c:v>9.4958208908059605E-3</c:v>
                </c:pt>
                <c:pt idx="147">
                  <c:v>2.9756017144741179E-3</c:v>
                </c:pt>
                <c:pt idx="148">
                  <c:v>2.1291007252180398E-3</c:v>
                </c:pt>
                <c:pt idx="149">
                  <c:v>1.5147617822744291E-2</c:v>
                </c:pt>
                <c:pt idx="150">
                  <c:v>-2.5410691720235154E-4</c:v>
                </c:pt>
                <c:pt idx="151">
                  <c:v>1.1086997546706926E-2</c:v>
                </c:pt>
                <c:pt idx="152">
                  <c:v>1.0867503398564699E-2</c:v>
                </c:pt>
                <c:pt idx="153">
                  <c:v>7.4073109768798169E-3</c:v>
                </c:pt>
                <c:pt idx="154">
                  <c:v>2.2333891680625349E-3</c:v>
                </c:pt>
                <c:pt idx="155">
                  <c:v>2.1885278918832756E-3</c:v>
                </c:pt>
                <c:pt idx="156">
                  <c:v>5.1052298518124532E-3</c:v>
                </c:pt>
                <c:pt idx="157">
                  <c:v>-3.2435585380545735E-4</c:v>
                </c:pt>
                <c:pt idx="158">
                  <c:v>1.9268070513850934E-3</c:v>
                </c:pt>
                <c:pt idx="159">
                  <c:v>1.4029055733207443E-3</c:v>
                </c:pt>
                <c:pt idx="160">
                  <c:v>4.5873346287504706E-4</c:v>
                </c:pt>
                <c:pt idx="161">
                  <c:v>2.6639909400836752E-3</c:v>
                </c:pt>
                <c:pt idx="162">
                  <c:v>0.10825114265095021</c:v>
                </c:pt>
                <c:pt idx="163">
                  <c:v>1.2622336046830695E-2</c:v>
                </c:pt>
                <c:pt idx="164">
                  <c:v>1.6572027392586454E-3</c:v>
                </c:pt>
                <c:pt idx="165">
                  <c:v>3.2619275185675578E-3</c:v>
                </c:pt>
                <c:pt idx="166">
                  <c:v>6.9173294769824048E-2</c:v>
                </c:pt>
                <c:pt idx="167">
                  <c:v>7.9689298043728429E-2</c:v>
                </c:pt>
                <c:pt idx="168">
                  <c:v>1.2636715002329981E-3</c:v>
                </c:pt>
                <c:pt idx="169">
                  <c:v>1.268716241173857E-3</c:v>
                </c:pt>
                <c:pt idx="170">
                  <c:v>1.3832962243592781E-3</c:v>
                </c:pt>
                <c:pt idx="171">
                  <c:v>8.8022790888170322E-4</c:v>
                </c:pt>
                <c:pt idx="172">
                  <c:v>2.2667798288422093E-3</c:v>
                </c:pt>
                <c:pt idx="173">
                  <c:v>1.3889264193260734E-3</c:v>
                </c:pt>
                <c:pt idx="174">
                  <c:v>8.4497101083942528E-3</c:v>
                </c:pt>
                <c:pt idx="175">
                  <c:v>3.3667947287974553E-3</c:v>
                </c:pt>
                <c:pt idx="176">
                  <c:v>2.1195852212872357E-3</c:v>
                </c:pt>
                <c:pt idx="177">
                  <c:v>1.0436528865268368E-2</c:v>
                </c:pt>
                <c:pt idx="178">
                  <c:v>3.4032917638311531E-2</c:v>
                </c:pt>
                <c:pt idx="179">
                  <c:v>7.1981098934404211E-4</c:v>
                </c:pt>
                <c:pt idx="180">
                  <c:v>-2.3994481269308059E-3</c:v>
                </c:pt>
                <c:pt idx="181">
                  <c:v>-2.4750024750024749E-3</c:v>
                </c:pt>
                <c:pt idx="182">
                  <c:v>3.7191155522184875E-4</c:v>
                </c:pt>
                <c:pt idx="183">
                  <c:v>3.9239564305527366E-4</c:v>
                </c:pt>
                <c:pt idx="184">
                  <c:v>9.5802484827301332E-3</c:v>
                </c:pt>
                <c:pt idx="185">
                  <c:v>2.7690774864725927E-3</c:v>
                </c:pt>
                <c:pt idx="186">
                  <c:v>2.2734693021737242E-3</c:v>
                </c:pt>
                <c:pt idx="187">
                  <c:v>6.0267642955734836E-3</c:v>
                </c:pt>
                <c:pt idx="188">
                  <c:v>3.4511059684624078E-3</c:v>
                </c:pt>
                <c:pt idx="189">
                  <c:v>2.014855668727483E-3</c:v>
                </c:pt>
                <c:pt idx="190">
                  <c:v>1.9454574184929272E-3</c:v>
                </c:pt>
                <c:pt idx="191">
                  <c:v>5.5706165282028861E-2</c:v>
                </c:pt>
                <c:pt idx="192">
                  <c:v>4.1995793722733989E-3</c:v>
                </c:pt>
                <c:pt idx="193">
                  <c:v>8.0965664826031301E-4</c:v>
                </c:pt>
                <c:pt idx="194">
                  <c:v>3.1174901520344203E-3</c:v>
                </c:pt>
                <c:pt idx="195">
                  <c:v>5.8190830903102836E-3</c:v>
                </c:pt>
                <c:pt idx="196">
                  <c:v>3.5361871958419907E-3</c:v>
                </c:pt>
                <c:pt idx="197">
                  <c:v>1.1156186612576065E-3</c:v>
                </c:pt>
                <c:pt idx="198">
                  <c:v>5.8952701962314107E-4</c:v>
                </c:pt>
                <c:pt idx="199">
                  <c:v>-4.0819787301048958E-3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8-4343-BBBA-3CF79BC67916}"/>
            </c:ext>
          </c:extLst>
        </c:ser>
        <c:ser>
          <c:idx val="1"/>
          <c:order val="1"/>
          <c:tx>
            <c:v>Forecast</c:v>
          </c:tx>
          <c:val>
            <c:numRef>
              <c:f>'Task 6.3'!$J$2:$J$201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9.786843833468362E-3</c:v>
                </c:pt>
                <c:pt idx="3">
                  <c:v>9.6911413635518157E-3</c:v>
                </c:pt>
                <c:pt idx="4">
                  <c:v>5.3664657153939055E-3</c:v>
                </c:pt>
                <c:pt idx="5">
                  <c:v>5.7753614776196163E-3</c:v>
                </c:pt>
                <c:pt idx="6">
                  <c:v>5.1005382140634319E-3</c:v>
                </c:pt>
                <c:pt idx="7">
                  <c:v>2.3953221718882593E-3</c:v>
                </c:pt>
                <c:pt idx="8">
                  <c:v>1.6957458036827016E-3</c:v>
                </c:pt>
                <c:pt idx="9">
                  <c:v>4.1698459100056552E-3</c:v>
                </c:pt>
                <c:pt idx="10">
                  <c:v>6.8864364108631232E-3</c:v>
                </c:pt>
                <c:pt idx="11">
                  <c:v>6.5284227249957534E-3</c:v>
                </c:pt>
                <c:pt idx="12">
                  <c:v>9.689505363336787E-3</c:v>
                </c:pt>
                <c:pt idx="13">
                  <c:v>2.7342414566967843E-2</c:v>
                </c:pt>
                <c:pt idx="14">
                  <c:v>2.7981688718432179E-2</c:v>
                </c:pt>
                <c:pt idx="15">
                  <c:v>2.2006541919135886E-2</c:v>
                </c:pt>
                <c:pt idx="16">
                  <c:v>6.6244556550497022E-4</c:v>
                </c:pt>
                <c:pt idx="17">
                  <c:v>-1.7328037155490741E-4</c:v>
                </c:pt>
                <c:pt idx="18">
                  <c:v>1.3575119963358643E-3</c:v>
                </c:pt>
                <c:pt idx="19">
                  <c:v>1.7983862358495145E-3</c:v>
                </c:pt>
                <c:pt idx="20">
                  <c:v>1.1273816562019876E-2</c:v>
                </c:pt>
                <c:pt idx="21">
                  <c:v>1.0248453850620841E-2</c:v>
                </c:pt>
                <c:pt idx="22">
                  <c:v>1.0449367531197294E-2</c:v>
                </c:pt>
                <c:pt idx="23">
                  <c:v>1.6101287927220702E-3</c:v>
                </c:pt>
                <c:pt idx="24">
                  <c:v>5.1900305285835476E-3</c:v>
                </c:pt>
                <c:pt idx="25">
                  <c:v>4.5589148183753838E-3</c:v>
                </c:pt>
                <c:pt idx="26">
                  <c:v>4.4585001117188406E-3</c:v>
                </c:pt>
                <c:pt idx="27">
                  <c:v>8.0976134297548567E-4</c:v>
                </c:pt>
                <c:pt idx="28">
                  <c:v>1.0849865197189691E-3</c:v>
                </c:pt>
                <c:pt idx="29">
                  <c:v>1.5380066854197431E-3</c:v>
                </c:pt>
                <c:pt idx="30">
                  <c:v>3.4099985828302524E-3</c:v>
                </c:pt>
                <c:pt idx="31">
                  <c:v>3.6428204814013265E-3</c:v>
                </c:pt>
                <c:pt idx="32">
                  <c:v>1.0177639518736679E-2</c:v>
                </c:pt>
                <c:pt idx="33">
                  <c:v>7.7215984605850385E-3</c:v>
                </c:pt>
                <c:pt idx="34">
                  <c:v>9.1098051533298682E-3</c:v>
                </c:pt>
                <c:pt idx="35">
                  <c:v>4.0226020542263267E-3</c:v>
                </c:pt>
                <c:pt idx="36">
                  <c:v>4.5341650660914732E-3</c:v>
                </c:pt>
                <c:pt idx="37">
                  <c:v>2.2760872813590411E-3</c:v>
                </c:pt>
                <c:pt idx="38">
                  <c:v>-1.4320383443838921E-5</c:v>
                </c:pt>
                <c:pt idx="39">
                  <c:v>4.9393788457094617E-5</c:v>
                </c:pt>
                <c:pt idx="40">
                  <c:v>1.4774409767397724E-3</c:v>
                </c:pt>
                <c:pt idx="41">
                  <c:v>2.6800187278660085E-3</c:v>
                </c:pt>
                <c:pt idx="42">
                  <c:v>2.3767607787142323E-3</c:v>
                </c:pt>
                <c:pt idx="43">
                  <c:v>4.8450649664875372E-3</c:v>
                </c:pt>
                <c:pt idx="44">
                  <c:v>3.4773633861400234E-3</c:v>
                </c:pt>
                <c:pt idx="45">
                  <c:v>5.3664619282858808E-3</c:v>
                </c:pt>
                <c:pt idx="46">
                  <c:v>4.937179065079283E-3</c:v>
                </c:pt>
                <c:pt idx="47">
                  <c:v>5.5836180331572749E-3</c:v>
                </c:pt>
                <c:pt idx="48">
                  <c:v>4.848033579852396E-3</c:v>
                </c:pt>
                <c:pt idx="49">
                  <c:v>1.9386647301726189E-3</c:v>
                </c:pt>
                <c:pt idx="50">
                  <c:v>3.4115294230354313E-3</c:v>
                </c:pt>
                <c:pt idx="51">
                  <c:v>2.2686996316909785E-3</c:v>
                </c:pt>
                <c:pt idx="52">
                  <c:v>6.338218108302391E-3</c:v>
                </c:pt>
                <c:pt idx="53">
                  <c:v>4.8419693567353659E-3</c:v>
                </c:pt>
                <c:pt idx="54">
                  <c:v>5.0089192713739508E-3</c:v>
                </c:pt>
                <c:pt idx="55">
                  <c:v>1.2061063765334548E-3</c:v>
                </c:pt>
                <c:pt idx="56">
                  <c:v>1.8912544736291864E-3</c:v>
                </c:pt>
                <c:pt idx="57">
                  <c:v>3.2331068153083828E-3</c:v>
                </c:pt>
                <c:pt idx="58">
                  <c:v>3.1335632088540185E-3</c:v>
                </c:pt>
                <c:pt idx="59">
                  <c:v>7.4249664868929789E-3</c:v>
                </c:pt>
                <c:pt idx="60">
                  <c:v>8.3512140140952536E-3</c:v>
                </c:pt>
                <c:pt idx="61">
                  <c:v>8.2204363295452412E-3</c:v>
                </c:pt>
                <c:pt idx="62">
                  <c:v>3.4987547704191124E-3</c:v>
                </c:pt>
                <c:pt idx="63">
                  <c:v>9.3572276640571975E-4</c:v>
                </c:pt>
                <c:pt idx="64">
                  <c:v>1.3921176702119849E-3</c:v>
                </c:pt>
                <c:pt idx="65">
                  <c:v>4.0993449610540067E-4</c:v>
                </c:pt>
                <c:pt idx="66">
                  <c:v>2.5844091030630787E-3</c:v>
                </c:pt>
                <c:pt idx="67">
                  <c:v>7.3669595500434519E-3</c:v>
                </c:pt>
                <c:pt idx="68">
                  <c:v>8.316128182851594E-3</c:v>
                </c:pt>
                <c:pt idx="69">
                  <c:v>6.0989997615647279E-3</c:v>
                </c:pt>
                <c:pt idx="70">
                  <c:v>3.8674045316633293E-3</c:v>
                </c:pt>
                <c:pt idx="71">
                  <c:v>8.9712169029304567E-3</c:v>
                </c:pt>
                <c:pt idx="72">
                  <c:v>1.2436444589319022E-2</c:v>
                </c:pt>
                <c:pt idx="73">
                  <c:v>1.0820543728442503E-2</c:v>
                </c:pt>
                <c:pt idx="74">
                  <c:v>4.8688323456898431E-3</c:v>
                </c:pt>
                <c:pt idx="75">
                  <c:v>1.8691891059574781E-3</c:v>
                </c:pt>
                <c:pt idx="76">
                  <c:v>1.4588907687943283E-3</c:v>
                </c:pt>
                <c:pt idx="77">
                  <c:v>1.9868329259233272E-3</c:v>
                </c:pt>
                <c:pt idx="78">
                  <c:v>1.6313188934346465E-3</c:v>
                </c:pt>
                <c:pt idx="79">
                  <c:v>1.1954654898176048E-3</c:v>
                </c:pt>
                <c:pt idx="80">
                  <c:v>8.3724000132086784E-4</c:v>
                </c:pt>
                <c:pt idx="81">
                  <c:v>7.0878320955447818E-3</c:v>
                </c:pt>
                <c:pt idx="82">
                  <c:v>7.2944334782767085E-3</c:v>
                </c:pt>
                <c:pt idx="83">
                  <c:v>8.9753105669610755E-3</c:v>
                </c:pt>
                <c:pt idx="84">
                  <c:v>3.3003170521770007E-3</c:v>
                </c:pt>
                <c:pt idx="85">
                  <c:v>3.092261021798656E-3</c:v>
                </c:pt>
                <c:pt idx="86">
                  <c:v>1.2180851105416106E-3</c:v>
                </c:pt>
                <c:pt idx="87">
                  <c:v>2.4700396864703101E-3</c:v>
                </c:pt>
                <c:pt idx="88">
                  <c:v>1.0333987909083435E-2</c:v>
                </c:pt>
                <c:pt idx="89">
                  <c:v>1.0846651025540187E-2</c:v>
                </c:pt>
                <c:pt idx="90">
                  <c:v>1.0257557522070746E-2</c:v>
                </c:pt>
                <c:pt idx="91">
                  <c:v>3.1247928763712628E-3</c:v>
                </c:pt>
                <c:pt idx="92">
                  <c:v>8.4109734894105229E-3</c:v>
                </c:pt>
                <c:pt idx="93">
                  <c:v>7.0798661434705061E-3</c:v>
                </c:pt>
                <c:pt idx="94">
                  <c:v>1.0126683675551439E-2</c:v>
                </c:pt>
                <c:pt idx="95">
                  <c:v>5.2372785435633867E-3</c:v>
                </c:pt>
                <c:pt idx="96">
                  <c:v>5.0317314024894595E-3</c:v>
                </c:pt>
                <c:pt idx="97">
                  <c:v>7.1182237648815671E-4</c:v>
                </c:pt>
                <c:pt idx="98">
                  <c:v>5.537153651405391E-5</c:v>
                </c:pt>
                <c:pt idx="99">
                  <c:v>4.4137969268211386E-4</c:v>
                </c:pt>
                <c:pt idx="100">
                  <c:v>2.3684318365699087E-3</c:v>
                </c:pt>
                <c:pt idx="101">
                  <c:v>3.3830067664725413E-3</c:v>
                </c:pt>
                <c:pt idx="102">
                  <c:v>3.6860173088647638E-3</c:v>
                </c:pt>
                <c:pt idx="103">
                  <c:v>6.4054950173513536E-3</c:v>
                </c:pt>
                <c:pt idx="104">
                  <c:v>6.3703620417908139E-3</c:v>
                </c:pt>
                <c:pt idx="105">
                  <c:v>7.210296365993389E-3</c:v>
                </c:pt>
                <c:pt idx="106">
                  <c:v>3.7546191233379742E-3</c:v>
                </c:pt>
                <c:pt idx="107">
                  <c:v>2.9092885465518935E-3</c:v>
                </c:pt>
                <c:pt idx="108">
                  <c:v>3.3907720917232286E-3</c:v>
                </c:pt>
                <c:pt idx="109">
                  <c:v>1.4898095760853674E-2</c:v>
                </c:pt>
                <c:pt idx="110">
                  <c:v>4.2395216409952363E-2</c:v>
                </c:pt>
                <c:pt idx="111">
                  <c:v>4.1127161374326121E-2</c:v>
                </c:pt>
                <c:pt idx="112">
                  <c:v>2.9383460626003294E-2</c:v>
                </c:pt>
                <c:pt idx="113">
                  <c:v>2.5518257321066333E-3</c:v>
                </c:pt>
                <c:pt idx="114">
                  <c:v>3.5137065028571241E-3</c:v>
                </c:pt>
                <c:pt idx="115">
                  <c:v>3.0856604769062441E-3</c:v>
                </c:pt>
                <c:pt idx="116">
                  <c:v>2.7937844649693019E-3</c:v>
                </c:pt>
                <c:pt idx="117">
                  <c:v>4.0159993547000282E-3</c:v>
                </c:pt>
                <c:pt idx="118">
                  <c:v>7.1622129485073406E-3</c:v>
                </c:pt>
                <c:pt idx="119">
                  <c:v>2.7387952290018402E-2</c:v>
                </c:pt>
                <c:pt idx="120">
                  <c:v>2.8959576220944295E-2</c:v>
                </c:pt>
                <c:pt idx="121">
                  <c:v>2.6776335673009372E-2</c:v>
                </c:pt>
                <c:pt idx="122">
                  <c:v>7.5930890524750607E-3</c:v>
                </c:pt>
                <c:pt idx="123">
                  <c:v>6.9710389949642097E-3</c:v>
                </c:pt>
                <c:pt idx="124">
                  <c:v>6.0562017076779334E-3</c:v>
                </c:pt>
                <c:pt idx="125">
                  <c:v>6.3606233623385092E-3</c:v>
                </c:pt>
                <c:pt idx="126">
                  <c:v>3.8712251497231959E-3</c:v>
                </c:pt>
                <c:pt idx="127">
                  <c:v>6.1814964842027463E-3</c:v>
                </c:pt>
                <c:pt idx="128">
                  <c:v>5.6653569733022364E-3</c:v>
                </c:pt>
                <c:pt idx="129">
                  <c:v>5.0404930364234693E-3</c:v>
                </c:pt>
                <c:pt idx="130">
                  <c:v>1.986446389479975E-3</c:v>
                </c:pt>
                <c:pt idx="131">
                  <c:v>2.1146720507977571E-2</c:v>
                </c:pt>
                <c:pt idx="132">
                  <c:v>2.2070365506230951E-2</c:v>
                </c:pt>
                <c:pt idx="133">
                  <c:v>2.246559030219368E-2</c:v>
                </c:pt>
                <c:pt idx="134">
                  <c:v>4.0499440910012246E-3</c:v>
                </c:pt>
                <c:pt idx="135">
                  <c:v>3.4004572578843193E-3</c:v>
                </c:pt>
                <c:pt idx="136">
                  <c:v>2.9487337199857792E-3</c:v>
                </c:pt>
                <c:pt idx="137">
                  <c:v>1.4929622931145858E-3</c:v>
                </c:pt>
                <c:pt idx="138">
                  <c:v>2.5870490470561273E-3</c:v>
                </c:pt>
                <c:pt idx="139">
                  <c:v>3.6264014753449973E-3</c:v>
                </c:pt>
                <c:pt idx="140">
                  <c:v>3.7188087928425573E-3</c:v>
                </c:pt>
                <c:pt idx="141">
                  <c:v>3.741999592196725E-3</c:v>
                </c:pt>
                <c:pt idx="142">
                  <c:v>3.9257471496051142E-3</c:v>
                </c:pt>
                <c:pt idx="143">
                  <c:v>2.6518199317423215E-3</c:v>
                </c:pt>
                <c:pt idx="144">
                  <c:v>3.4039309098332061E-3</c:v>
                </c:pt>
                <c:pt idx="145">
                  <c:v>3.3166285751158654E-3</c:v>
                </c:pt>
                <c:pt idx="146">
                  <c:v>6.7318104902750397E-3</c:v>
                </c:pt>
                <c:pt idx="147">
                  <c:v>5.1380581551578501E-3</c:v>
                </c:pt>
                <c:pt idx="148">
                  <c:v>4.8668411101660397E-3</c:v>
                </c:pt>
                <c:pt idx="149">
                  <c:v>6.7507734208121497E-3</c:v>
                </c:pt>
                <c:pt idx="150">
                  <c:v>5.6742038769199933E-3</c:v>
                </c:pt>
                <c:pt idx="151">
                  <c:v>8.6601694840829548E-3</c:v>
                </c:pt>
                <c:pt idx="152">
                  <c:v>7.233464676023091E-3</c:v>
                </c:pt>
                <c:pt idx="153">
                  <c:v>9.7872706407171484E-3</c:v>
                </c:pt>
                <c:pt idx="154">
                  <c:v>6.836067847835684E-3</c:v>
                </c:pt>
                <c:pt idx="155">
                  <c:v>3.9430760122752088E-3</c:v>
                </c:pt>
                <c:pt idx="156">
                  <c:v>3.1757156372527544E-3</c:v>
                </c:pt>
                <c:pt idx="157">
                  <c:v>2.3231339632967573E-3</c:v>
                </c:pt>
                <c:pt idx="158">
                  <c:v>2.2358936831306966E-3</c:v>
                </c:pt>
                <c:pt idx="159">
                  <c:v>1.001785590300127E-3</c:v>
                </c:pt>
                <c:pt idx="160">
                  <c:v>1.2628153625269616E-3</c:v>
                </c:pt>
                <c:pt idx="161">
                  <c:v>1.5085433254264889E-3</c:v>
                </c:pt>
                <c:pt idx="162">
                  <c:v>3.7124622351302976E-2</c:v>
                </c:pt>
                <c:pt idx="163">
                  <c:v>4.1179156545954852E-2</c:v>
                </c:pt>
                <c:pt idx="164">
                  <c:v>4.0843560479013184E-2</c:v>
                </c:pt>
                <c:pt idx="165">
                  <c:v>5.8471554348856333E-3</c:v>
                </c:pt>
                <c:pt idx="166">
                  <c:v>2.4697475009216749E-2</c:v>
                </c:pt>
                <c:pt idx="167">
                  <c:v>5.0708173444040015E-2</c:v>
                </c:pt>
                <c:pt idx="168">
                  <c:v>5.004208810459515E-2</c:v>
                </c:pt>
                <c:pt idx="169">
                  <c:v>2.7407228595045099E-2</c:v>
                </c:pt>
                <c:pt idx="170">
                  <c:v>1.3052279885887111E-3</c:v>
                </c:pt>
                <c:pt idx="171">
                  <c:v>1.1774134581382795E-3</c:v>
                </c:pt>
                <c:pt idx="172">
                  <c:v>1.5101013206943968E-3</c:v>
                </c:pt>
                <c:pt idx="173">
                  <c:v>1.5119780523499954E-3</c:v>
                </c:pt>
                <c:pt idx="174">
                  <c:v>4.0351387855208452E-3</c:v>
                </c:pt>
                <c:pt idx="175">
                  <c:v>4.4018104188392609E-3</c:v>
                </c:pt>
                <c:pt idx="176">
                  <c:v>4.6453633528263146E-3</c:v>
                </c:pt>
                <c:pt idx="177">
                  <c:v>5.307636271784353E-3</c:v>
                </c:pt>
                <c:pt idx="178">
                  <c:v>1.5529677241622379E-2</c:v>
                </c:pt>
                <c:pt idx="179">
                  <c:v>1.5063085830974647E-2</c:v>
                </c:pt>
                <c:pt idx="180">
                  <c:v>1.0784426833574924E-2</c:v>
                </c:pt>
                <c:pt idx="181">
                  <c:v>-1.3848798708630797E-3</c:v>
                </c:pt>
                <c:pt idx="182">
                  <c:v>-1.5008463489038107E-3</c:v>
                </c:pt>
                <c:pt idx="183">
                  <c:v>-5.7023175890845077E-4</c:v>
                </c:pt>
                <c:pt idx="184">
                  <c:v>3.4481852270024185E-3</c:v>
                </c:pt>
                <c:pt idx="185">
                  <c:v>4.2472405374193332E-3</c:v>
                </c:pt>
                <c:pt idx="186">
                  <c:v>4.8742650904588167E-3</c:v>
                </c:pt>
                <c:pt idx="187">
                  <c:v>3.6897703614065997E-3</c:v>
                </c:pt>
                <c:pt idx="188">
                  <c:v>3.9171131887365393E-3</c:v>
                </c:pt>
                <c:pt idx="189">
                  <c:v>3.830908644254458E-3</c:v>
                </c:pt>
                <c:pt idx="190">
                  <c:v>2.4704730185609396E-3</c:v>
                </c:pt>
                <c:pt idx="191">
                  <c:v>1.9888826123083091E-2</c:v>
                </c:pt>
                <c:pt idx="192">
                  <c:v>2.0617067357598395E-2</c:v>
                </c:pt>
                <c:pt idx="193">
                  <c:v>2.0238467100854193E-2</c:v>
                </c:pt>
                <c:pt idx="194">
                  <c:v>2.7089087241893776E-3</c:v>
                </c:pt>
                <c:pt idx="195">
                  <c:v>3.2487432968683391E-3</c:v>
                </c:pt>
                <c:pt idx="196">
                  <c:v>4.1575868127288985E-3</c:v>
                </c:pt>
                <c:pt idx="197">
                  <c:v>3.4902963158032936E-3</c:v>
                </c:pt>
                <c:pt idx="198">
                  <c:v>1.7471109589075795E-3</c:v>
                </c:pt>
                <c:pt idx="199">
                  <c:v>-7.9227768307471612E-4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8-4343-BBBA-3CF79BC67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825952"/>
        <c:axId val="1461828832"/>
      </c:lineChart>
      <c:catAx>
        <c:axId val="146182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461828832"/>
        <c:crosses val="autoZero"/>
        <c:auto val="1"/>
        <c:lblAlgn val="ctr"/>
        <c:lblOffset val="100"/>
        <c:noMultiLvlLbl val="0"/>
      </c:catAx>
      <c:valAx>
        <c:axId val="1461828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1825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'Engagement Summary'!$G$2:$G$201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'Engagement Summary'!$H$2:$H$201</c:f>
            </c:numRef>
          </c:yVal>
          <c:smooth val="0"/>
          <c:extLst>
            <c:ext xmlns:c16="http://schemas.microsoft.com/office/drawing/2014/chart" uri="{C3380CC4-5D6E-409C-BE32-E72D297353CC}">
              <c16:uniqueId val="{00000000-1FC3-4BA3-86C2-5510CAB4FA9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'Task 6.3'!$G$2:$G$201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'Task 6.3'!$I$2:$I$201</c:f>
              <c:numCache>
                <c:formatCode>General</c:formatCode>
                <c:ptCount val="200"/>
                <c:pt idx="0">
                  <c:v>3.0428616268120576E-3</c:v>
                </c:pt>
                <c:pt idx="1">
                  <c:v>2.3491348994232664E-2</c:v>
                </c:pt>
                <c:pt idx="2">
                  <c:v>2.826320879360366E-3</c:v>
                </c:pt>
                <c:pt idx="3">
                  <c:v>2.7557542170624167E-3</c:v>
                </c:pt>
                <c:pt idx="4">
                  <c:v>1.0517322049758936E-2</c:v>
                </c:pt>
                <c:pt idx="5">
                  <c:v>4.0530081660374974E-3</c:v>
                </c:pt>
                <c:pt idx="6">
                  <c:v>7.3128442639386348E-4</c:v>
                </c:pt>
                <c:pt idx="7">
                  <c:v>2.4016739232334168E-3</c:v>
                </c:pt>
                <c:pt idx="8">
                  <c:v>1.9542790614208243E-3</c:v>
                </c:pt>
                <c:pt idx="9">
                  <c:v>8.1535847453627231E-3</c:v>
                </c:pt>
                <c:pt idx="10">
                  <c:v>1.0551445425805821E-2</c:v>
                </c:pt>
                <c:pt idx="11">
                  <c:v>8.80238003818718E-4</c:v>
                </c:pt>
                <c:pt idx="12">
                  <c:v>1.7636832660385824E-2</c:v>
                </c:pt>
                <c:pt idx="13">
                  <c:v>6.3510173036698994E-2</c:v>
                </c:pt>
                <c:pt idx="14">
                  <c:v>2.798060458211721E-3</c:v>
                </c:pt>
                <c:pt idx="15">
                  <c:v>-2.8860773750305035E-4</c:v>
                </c:pt>
                <c:pt idx="16">
                  <c:v>-5.2211602419375983E-4</c:v>
                </c:pt>
                <c:pt idx="17">
                  <c:v>2.9088264703208797E-4</c:v>
                </c:pt>
                <c:pt idx="18">
                  <c:v>4.3037693661692649E-3</c:v>
                </c:pt>
                <c:pt idx="19">
                  <c:v>8.0050669434719116E-4</c:v>
                </c:pt>
                <c:pt idx="20">
                  <c:v>2.8717173625543171E-2</c:v>
                </c:pt>
                <c:pt idx="21">
                  <c:v>1.2276812319721568E-3</c:v>
                </c:pt>
                <c:pt idx="22">
                  <c:v>1.40324773607655E-3</c:v>
                </c:pt>
                <c:pt idx="23">
                  <c:v>2.1994574101175039E-3</c:v>
                </c:pt>
                <c:pt idx="24">
                  <c:v>1.1967386439556591E-2</c:v>
                </c:pt>
                <c:pt idx="25">
                  <c:v>-4.9009939454794306E-4</c:v>
                </c:pt>
                <c:pt idx="26">
                  <c:v>1.8982132901478749E-3</c:v>
                </c:pt>
                <c:pt idx="27">
                  <c:v>1.0211701333265254E-3</c:v>
                </c:pt>
                <c:pt idx="28">
                  <c:v>3.3557613568250698E-4</c:v>
                </c:pt>
                <c:pt idx="29">
                  <c:v>3.2572737872501967E-3</c:v>
                </c:pt>
                <c:pt idx="30">
                  <c:v>6.6371458255580548E-3</c:v>
                </c:pt>
                <c:pt idx="31">
                  <c:v>1.0340418313957282E-3</c:v>
                </c:pt>
                <c:pt idx="32">
                  <c:v>2.2861730899256253E-2</c:v>
                </c:pt>
                <c:pt idx="33">
                  <c:v>-7.3097734889686784E-4</c:v>
                </c:pt>
                <c:pt idx="34">
                  <c:v>5.1986619096302169E-3</c:v>
                </c:pt>
                <c:pt idx="35">
                  <c:v>7.600121601945631E-3</c:v>
                </c:pt>
                <c:pt idx="36">
                  <c:v>8.0371168669857163E-4</c:v>
                </c:pt>
                <c:pt idx="37">
                  <c:v>-1.5755714445670778E-3</c:v>
                </c:pt>
                <c:pt idx="38">
                  <c:v>7.2889860753698943E-4</c:v>
                </c:pt>
                <c:pt idx="39">
                  <c:v>9.9485420240137223E-4</c:v>
                </c:pt>
                <c:pt idx="40">
                  <c:v>2.7085701202809553E-3</c:v>
                </c:pt>
                <c:pt idx="41">
                  <c:v>4.3366318609156986E-3</c:v>
                </c:pt>
                <c:pt idx="42">
                  <c:v>8.5080354946042954E-5</c:v>
                </c:pt>
                <c:pt idx="43">
                  <c:v>1.011348268360087E-2</c:v>
                </c:pt>
                <c:pt idx="44">
                  <c:v>2.335271198731579E-4</c:v>
                </c:pt>
                <c:pt idx="45">
                  <c:v>5.7523759813836147E-3</c:v>
                </c:pt>
                <c:pt idx="46">
                  <c:v>8.825634093981077E-3</c:v>
                </c:pt>
                <c:pt idx="47">
                  <c:v>2.1728440241071327E-3</c:v>
                </c:pt>
                <c:pt idx="48">
                  <c:v>3.5456226214689766E-3</c:v>
                </c:pt>
                <c:pt idx="49">
                  <c:v>9.7527544941747058E-5</c:v>
                </c:pt>
                <c:pt idx="50">
                  <c:v>6.5914381026955706E-3</c:v>
                </c:pt>
                <c:pt idx="51">
                  <c:v>1.1713324743561855E-4</c:v>
                </c:pt>
                <c:pt idx="52">
                  <c:v>1.2306082974775983E-2</c:v>
                </c:pt>
                <c:pt idx="53">
                  <c:v>2.1026918479944948E-3</c:v>
                </c:pt>
                <c:pt idx="54">
                  <c:v>6.1798299135137512E-4</c:v>
                </c:pt>
                <c:pt idx="55">
                  <c:v>8.9764429025449434E-4</c:v>
                </c:pt>
                <c:pt idx="56">
                  <c:v>4.1581361392816901E-3</c:v>
                </c:pt>
                <c:pt idx="57">
                  <c:v>4.6435400163889647E-3</c:v>
                </c:pt>
                <c:pt idx="58">
                  <c:v>5.990134708914012E-4</c:v>
                </c:pt>
                <c:pt idx="59">
                  <c:v>1.7032345973398571E-2</c:v>
                </c:pt>
                <c:pt idx="60">
                  <c:v>7.4222825979957871E-3</c:v>
                </c:pt>
                <c:pt idx="61">
                  <c:v>2.0668041724136477E-4</c:v>
                </c:pt>
                <c:pt idx="62">
                  <c:v>2.8673012960201858E-3</c:v>
                </c:pt>
                <c:pt idx="63">
                  <c:v>-2.6681341404439108E-4</c:v>
                </c:pt>
                <c:pt idx="64">
                  <c:v>1.5758651286601596E-3</c:v>
                </c:pt>
                <c:pt idx="65">
                  <c:v>-7.9248226299566635E-5</c:v>
                </c:pt>
                <c:pt idx="66">
                  <c:v>6.2566104068286429E-3</c:v>
                </c:pt>
                <c:pt idx="67">
                  <c:v>1.592351646960128E-2</c:v>
                </c:pt>
                <c:pt idx="68">
                  <c:v>2.7682576721248606E-3</c:v>
                </c:pt>
                <c:pt idx="69">
                  <c:v>-3.9477485703195471E-4</c:v>
                </c:pt>
                <c:pt idx="70">
                  <c:v>9.2287307798970819E-3</c:v>
                </c:pt>
                <c:pt idx="71">
                  <c:v>1.8079694785926241E-2</c:v>
                </c:pt>
                <c:pt idx="72">
                  <c:v>1.0000908202133741E-2</c:v>
                </c:pt>
                <c:pt idx="73">
                  <c:v>4.3810281972675247E-3</c:v>
                </c:pt>
                <c:pt idx="74">
                  <c:v>2.2456063766826309E-4</c:v>
                </c:pt>
                <c:pt idx="75">
                  <c:v>1.0019784829366461E-3</c:v>
                </c:pt>
                <c:pt idx="76">
                  <c:v>3.1501331857780751E-3</c:v>
                </c:pt>
                <c:pt idx="77">
                  <c:v>1.8083871090552605E-3</c:v>
                </c:pt>
                <c:pt idx="78">
                  <c:v>-6.456361452939582E-5</c:v>
                </c:pt>
                <c:pt idx="79">
                  <c:v>1.8425729749269497E-3</c:v>
                </c:pt>
                <c:pt idx="80">
                  <c:v>7.3371064356504961E-4</c:v>
                </c:pt>
                <c:pt idx="81">
                  <c:v>1.8687212668142345E-2</c:v>
                </c:pt>
                <c:pt idx="82">
                  <c:v>2.4623771231227277E-3</c:v>
                </c:pt>
                <c:pt idx="83">
                  <c:v>5.7763419096181542E-3</c:v>
                </c:pt>
                <c:pt idx="84">
                  <c:v>1.6622321237901201E-3</c:v>
                </c:pt>
                <c:pt idx="85">
                  <c:v>1.8382090319876945E-3</c:v>
                </c:pt>
                <c:pt idx="86">
                  <c:v>1.5381417584701726E-4</c:v>
                </c:pt>
                <c:pt idx="87">
                  <c:v>5.4180958515762179E-3</c:v>
                </c:pt>
                <c:pt idx="88">
                  <c:v>2.5430053699827069E-2</c:v>
                </c:pt>
                <c:pt idx="89">
                  <c:v>1.6918035252172713E-3</c:v>
                </c:pt>
                <c:pt idx="90">
                  <c:v>3.6508153411678964E-3</c:v>
                </c:pt>
                <c:pt idx="91">
                  <c:v>4.0317597627286209E-3</c:v>
                </c:pt>
                <c:pt idx="92">
                  <c:v>1.7550345364335054E-2</c:v>
                </c:pt>
                <c:pt idx="93">
                  <c:v>-3.4250669665215861E-4</c:v>
                </c:pt>
                <c:pt idx="94">
                  <c:v>1.3172212358971423E-2</c:v>
                </c:pt>
                <c:pt idx="95">
                  <c:v>2.8821299683708945E-3</c:v>
                </c:pt>
                <c:pt idx="96">
                  <c:v>-9.5914811987394058E-4</c:v>
                </c:pt>
                <c:pt idx="97">
                  <c:v>2.1248528096751631E-4</c:v>
                </c:pt>
                <c:pt idx="98">
                  <c:v>9.1277744844858602E-4</c:v>
                </c:pt>
                <c:pt idx="99">
                  <c:v>1.9887634863023914E-4</c:v>
                </c:pt>
                <c:pt idx="100">
                  <c:v>5.9936417126309005E-3</c:v>
                </c:pt>
                <c:pt idx="101">
                  <c:v>3.9565022381564839E-3</c:v>
                </c:pt>
                <c:pt idx="102">
                  <c:v>1.1079079758069075E-3</c:v>
                </c:pt>
                <c:pt idx="103">
                  <c:v>1.4152074838090669E-2</c:v>
                </c:pt>
                <c:pt idx="104">
                  <c:v>3.8511033114748661E-3</c:v>
                </c:pt>
                <c:pt idx="105">
                  <c:v>3.6277109484146308E-3</c:v>
                </c:pt>
                <c:pt idx="106">
                  <c:v>3.7850431101244257E-3</c:v>
                </c:pt>
                <c:pt idx="107">
                  <c:v>1.3151115811166245E-3</c:v>
                </c:pt>
                <c:pt idx="108">
                  <c:v>5.0721615839286359E-3</c:v>
                </c:pt>
                <c:pt idx="109">
                  <c:v>3.8307014117515761E-2</c:v>
                </c:pt>
                <c:pt idx="110">
                  <c:v>8.3806473528412681E-2</c:v>
                </c:pt>
                <c:pt idx="111">
                  <c:v>1.2679964770499277E-3</c:v>
                </c:pt>
                <c:pt idx="112">
                  <c:v>3.0759118725472716E-3</c:v>
                </c:pt>
                <c:pt idx="113">
                  <c:v>3.311568846722701E-3</c:v>
                </c:pt>
                <c:pt idx="114">
                  <c:v>4.1536387893013997E-3</c:v>
                </c:pt>
                <c:pt idx="115">
                  <c:v>1.7917737946946315E-3</c:v>
                </c:pt>
                <c:pt idx="116">
                  <c:v>2.4359408109118751E-3</c:v>
                </c:pt>
                <c:pt idx="117">
                  <c:v>7.8202834584935772E-3</c:v>
                </c:pt>
                <c:pt idx="118">
                  <c:v>1.1230414576116569E-2</c:v>
                </c:pt>
                <c:pt idx="119">
                  <c:v>6.3113158835445049E-2</c:v>
                </c:pt>
                <c:pt idx="120">
                  <c:v>1.253515525127127E-2</c:v>
                </c:pt>
                <c:pt idx="121">
                  <c:v>4.6806929323118035E-3</c:v>
                </c:pt>
                <c:pt idx="122">
                  <c:v>5.5634189738421064E-3</c:v>
                </c:pt>
                <c:pt idx="123">
                  <c:v>1.0669005078738719E-2</c:v>
                </c:pt>
                <c:pt idx="124">
                  <c:v>1.9361810704529763E-3</c:v>
                </c:pt>
                <c:pt idx="125">
                  <c:v>6.4766839378238338E-3</c:v>
                </c:pt>
                <c:pt idx="126">
                  <c:v>3.2008104408927781E-3</c:v>
                </c:pt>
                <c:pt idx="127">
                  <c:v>8.8669950738916262E-3</c:v>
                </c:pt>
                <c:pt idx="128">
                  <c:v>4.9282654051223049E-3</c:v>
                </c:pt>
                <c:pt idx="129">
                  <c:v>1.3262186302564765E-3</c:v>
                </c:pt>
                <c:pt idx="130">
                  <c:v>-2.9514486693885583E-4</c:v>
                </c:pt>
                <c:pt idx="131">
                  <c:v>6.2409087760615087E-2</c:v>
                </c:pt>
                <c:pt idx="132">
                  <c:v>4.0971536250166149E-3</c:v>
                </c:pt>
                <c:pt idx="133">
                  <c:v>8.9052952094934197E-4</c:v>
                </c:pt>
                <c:pt idx="134">
                  <c:v>7.1621491270377159E-3</c:v>
                </c:pt>
                <c:pt idx="135">
                  <c:v>2.1486931256659019E-3</c:v>
                </c:pt>
                <c:pt idx="136">
                  <c:v>-4.6464109274628077E-4</c:v>
                </c:pt>
                <c:pt idx="137">
                  <c:v>2.7948348464241365E-3</c:v>
                </c:pt>
                <c:pt idx="138">
                  <c:v>5.4309533874905263E-3</c:v>
                </c:pt>
                <c:pt idx="139">
                  <c:v>2.6534161921203288E-3</c:v>
                </c:pt>
                <c:pt idx="140">
                  <c:v>3.0720567989168156E-3</c:v>
                </c:pt>
                <c:pt idx="141">
                  <c:v>5.5005257855530306E-3</c:v>
                </c:pt>
                <c:pt idx="142">
                  <c:v>3.2046588643454949E-3</c:v>
                </c:pt>
                <c:pt idx="143">
                  <c:v>-7.4972485467156139E-4</c:v>
                </c:pt>
                <c:pt idx="144">
                  <c:v>7.7568587198256845E-3</c:v>
                </c:pt>
                <c:pt idx="145">
                  <c:v>2.9427518601934728E-3</c:v>
                </c:pt>
                <c:pt idx="146">
                  <c:v>9.4958208908059605E-3</c:v>
                </c:pt>
                <c:pt idx="147">
                  <c:v>2.9756017144741179E-3</c:v>
                </c:pt>
                <c:pt idx="148">
                  <c:v>2.1291007252180398E-3</c:v>
                </c:pt>
                <c:pt idx="149">
                  <c:v>1.5147617822744291E-2</c:v>
                </c:pt>
                <c:pt idx="150">
                  <c:v>-2.5410691720235154E-4</c:v>
                </c:pt>
                <c:pt idx="151">
                  <c:v>1.1086997546706926E-2</c:v>
                </c:pt>
                <c:pt idx="152">
                  <c:v>1.0867503398564699E-2</c:v>
                </c:pt>
                <c:pt idx="153">
                  <c:v>7.4073109768798169E-3</c:v>
                </c:pt>
                <c:pt idx="154">
                  <c:v>2.2333891680625349E-3</c:v>
                </c:pt>
                <c:pt idx="155">
                  <c:v>2.1885278918832756E-3</c:v>
                </c:pt>
                <c:pt idx="156">
                  <c:v>5.1052298518124532E-3</c:v>
                </c:pt>
                <c:pt idx="157">
                  <c:v>-3.2435585380545735E-4</c:v>
                </c:pt>
                <c:pt idx="158">
                  <c:v>1.9268070513850934E-3</c:v>
                </c:pt>
                <c:pt idx="159">
                  <c:v>1.4029055733207443E-3</c:v>
                </c:pt>
                <c:pt idx="160">
                  <c:v>4.5873346287504706E-4</c:v>
                </c:pt>
                <c:pt idx="161">
                  <c:v>2.6639909400836752E-3</c:v>
                </c:pt>
                <c:pt idx="162">
                  <c:v>0.10825114265095021</c:v>
                </c:pt>
                <c:pt idx="163">
                  <c:v>1.2622336046830695E-2</c:v>
                </c:pt>
                <c:pt idx="164">
                  <c:v>1.6572027392586454E-3</c:v>
                </c:pt>
                <c:pt idx="165">
                  <c:v>3.2619275185675578E-3</c:v>
                </c:pt>
                <c:pt idx="166">
                  <c:v>6.9173294769824048E-2</c:v>
                </c:pt>
                <c:pt idx="167">
                  <c:v>7.9689298043728429E-2</c:v>
                </c:pt>
                <c:pt idx="168">
                  <c:v>1.2636715002329981E-3</c:v>
                </c:pt>
                <c:pt idx="169">
                  <c:v>1.268716241173857E-3</c:v>
                </c:pt>
                <c:pt idx="170">
                  <c:v>1.3832962243592781E-3</c:v>
                </c:pt>
                <c:pt idx="171">
                  <c:v>8.8022790888170322E-4</c:v>
                </c:pt>
                <c:pt idx="172">
                  <c:v>2.2667798288422093E-3</c:v>
                </c:pt>
                <c:pt idx="173">
                  <c:v>1.3889264193260734E-3</c:v>
                </c:pt>
                <c:pt idx="174">
                  <c:v>8.4497101083942528E-3</c:v>
                </c:pt>
                <c:pt idx="175">
                  <c:v>3.3667947287974553E-3</c:v>
                </c:pt>
                <c:pt idx="176">
                  <c:v>2.1195852212872357E-3</c:v>
                </c:pt>
                <c:pt idx="177">
                  <c:v>1.0436528865268368E-2</c:v>
                </c:pt>
                <c:pt idx="178">
                  <c:v>3.4032917638311531E-2</c:v>
                </c:pt>
                <c:pt idx="179">
                  <c:v>7.1981098934404211E-4</c:v>
                </c:pt>
                <c:pt idx="180">
                  <c:v>-2.3994481269308059E-3</c:v>
                </c:pt>
                <c:pt idx="181">
                  <c:v>-2.4750024750024749E-3</c:v>
                </c:pt>
                <c:pt idx="182">
                  <c:v>3.7191155522184875E-4</c:v>
                </c:pt>
                <c:pt idx="183">
                  <c:v>3.9239564305527366E-4</c:v>
                </c:pt>
                <c:pt idx="184">
                  <c:v>9.5802484827301332E-3</c:v>
                </c:pt>
                <c:pt idx="185">
                  <c:v>2.7690774864725927E-3</c:v>
                </c:pt>
                <c:pt idx="186">
                  <c:v>2.2734693021737242E-3</c:v>
                </c:pt>
                <c:pt idx="187">
                  <c:v>6.0267642955734836E-3</c:v>
                </c:pt>
                <c:pt idx="188">
                  <c:v>3.4511059684624078E-3</c:v>
                </c:pt>
                <c:pt idx="189">
                  <c:v>2.014855668727483E-3</c:v>
                </c:pt>
                <c:pt idx="190">
                  <c:v>1.9454574184929272E-3</c:v>
                </c:pt>
                <c:pt idx="191">
                  <c:v>5.5706165282028861E-2</c:v>
                </c:pt>
                <c:pt idx="192">
                  <c:v>4.1995793722733989E-3</c:v>
                </c:pt>
                <c:pt idx="193">
                  <c:v>8.0965664826031301E-4</c:v>
                </c:pt>
                <c:pt idx="194">
                  <c:v>3.1174901520344203E-3</c:v>
                </c:pt>
                <c:pt idx="195">
                  <c:v>5.8190830903102836E-3</c:v>
                </c:pt>
                <c:pt idx="196">
                  <c:v>3.5361871958419907E-3</c:v>
                </c:pt>
                <c:pt idx="197">
                  <c:v>1.1156186612576065E-3</c:v>
                </c:pt>
                <c:pt idx="198">
                  <c:v>5.8952701962314107E-4</c:v>
                </c:pt>
                <c:pt idx="199">
                  <c:v>-4.0819787301048958E-3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3-4BA3-86C2-5510CAB4F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824848"/>
        <c:axId val="1326824368"/>
      </c:scatterChart>
      <c:valAx>
        <c:axId val="132682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24368"/>
        <c:crosses val="autoZero"/>
        <c:crossBetween val="midCat"/>
      </c:valAx>
      <c:valAx>
        <c:axId val="13268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2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of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'Engagement Summary'!$G$2:$G$201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'Engagement Summary'!$H$2:$H$201</c:f>
            </c:numRef>
          </c:yVal>
          <c:smooth val="0"/>
          <c:extLst>
            <c:ext xmlns:c16="http://schemas.microsoft.com/office/drawing/2014/chart" uri="{C3380CC4-5D6E-409C-BE32-E72D297353CC}">
              <c16:uniqueId val="{00000000-A431-4C6C-9E22-DEC9AFA25D1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'Engagement Summary'!$G$2:$G$201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'Engagement Summary'!$I$2:$I$201</c:f>
              <c:numCache>
                <c:formatCode>General</c:formatCode>
                <c:ptCount val="200"/>
                <c:pt idx="0">
                  <c:v>3.0428616268120576E-3</c:v>
                </c:pt>
                <c:pt idx="1">
                  <c:v>2.3491348994232664E-2</c:v>
                </c:pt>
                <c:pt idx="2">
                  <c:v>2.826320879360366E-3</c:v>
                </c:pt>
                <c:pt idx="3">
                  <c:v>2.7557542170624167E-3</c:v>
                </c:pt>
                <c:pt idx="4">
                  <c:v>1.0517322049758936E-2</c:v>
                </c:pt>
                <c:pt idx="5">
                  <c:v>4.0530081660374974E-3</c:v>
                </c:pt>
                <c:pt idx="6">
                  <c:v>7.3128442639386348E-4</c:v>
                </c:pt>
                <c:pt idx="7">
                  <c:v>2.4016739232334168E-3</c:v>
                </c:pt>
                <c:pt idx="8">
                  <c:v>1.9542790614208243E-3</c:v>
                </c:pt>
                <c:pt idx="9">
                  <c:v>8.1535847453627231E-3</c:v>
                </c:pt>
                <c:pt idx="10">
                  <c:v>1.0551445425805821E-2</c:v>
                </c:pt>
                <c:pt idx="11">
                  <c:v>8.80238003818718E-4</c:v>
                </c:pt>
                <c:pt idx="12">
                  <c:v>1.7636832660385824E-2</c:v>
                </c:pt>
                <c:pt idx="13">
                  <c:v>6.3510173036698994E-2</c:v>
                </c:pt>
                <c:pt idx="14">
                  <c:v>2.798060458211721E-3</c:v>
                </c:pt>
                <c:pt idx="15">
                  <c:v>-2.8860773750305035E-4</c:v>
                </c:pt>
                <c:pt idx="16">
                  <c:v>-5.2211602419375983E-4</c:v>
                </c:pt>
                <c:pt idx="17">
                  <c:v>2.9088264703208797E-4</c:v>
                </c:pt>
                <c:pt idx="18">
                  <c:v>4.3037693661692649E-3</c:v>
                </c:pt>
                <c:pt idx="19">
                  <c:v>8.0050669434719116E-4</c:v>
                </c:pt>
                <c:pt idx="20">
                  <c:v>2.8717173625543171E-2</c:v>
                </c:pt>
                <c:pt idx="21">
                  <c:v>1.2276812319721568E-3</c:v>
                </c:pt>
                <c:pt idx="22">
                  <c:v>1.40324773607655E-3</c:v>
                </c:pt>
                <c:pt idx="23">
                  <c:v>2.1994574101175039E-3</c:v>
                </c:pt>
                <c:pt idx="24">
                  <c:v>1.1967386439556591E-2</c:v>
                </c:pt>
                <c:pt idx="25">
                  <c:v>-4.9009939454794306E-4</c:v>
                </c:pt>
                <c:pt idx="26">
                  <c:v>1.8982132901478749E-3</c:v>
                </c:pt>
                <c:pt idx="27">
                  <c:v>1.0211701333265254E-3</c:v>
                </c:pt>
                <c:pt idx="28">
                  <c:v>3.3557613568250698E-4</c:v>
                </c:pt>
                <c:pt idx="29">
                  <c:v>3.2572737872501967E-3</c:v>
                </c:pt>
                <c:pt idx="30">
                  <c:v>6.6371458255580548E-3</c:v>
                </c:pt>
                <c:pt idx="31">
                  <c:v>1.0340418313957282E-3</c:v>
                </c:pt>
                <c:pt idx="32">
                  <c:v>2.2861730899256253E-2</c:v>
                </c:pt>
                <c:pt idx="33">
                  <c:v>-7.3097734889686784E-4</c:v>
                </c:pt>
                <c:pt idx="34">
                  <c:v>5.1986619096302169E-3</c:v>
                </c:pt>
                <c:pt idx="35">
                  <c:v>7.600121601945631E-3</c:v>
                </c:pt>
                <c:pt idx="36">
                  <c:v>8.0371168669857163E-4</c:v>
                </c:pt>
                <c:pt idx="37">
                  <c:v>-1.5755714445670778E-3</c:v>
                </c:pt>
                <c:pt idx="38">
                  <c:v>7.2889860753698943E-4</c:v>
                </c:pt>
                <c:pt idx="39">
                  <c:v>9.9485420240137223E-4</c:v>
                </c:pt>
                <c:pt idx="40">
                  <c:v>2.7085701202809553E-3</c:v>
                </c:pt>
                <c:pt idx="41">
                  <c:v>4.3366318609156986E-3</c:v>
                </c:pt>
                <c:pt idx="42">
                  <c:v>8.5080354946042954E-5</c:v>
                </c:pt>
                <c:pt idx="43">
                  <c:v>1.011348268360087E-2</c:v>
                </c:pt>
                <c:pt idx="44">
                  <c:v>2.335271198731579E-4</c:v>
                </c:pt>
                <c:pt idx="45">
                  <c:v>5.7523759813836147E-3</c:v>
                </c:pt>
                <c:pt idx="46">
                  <c:v>8.825634093981077E-3</c:v>
                </c:pt>
                <c:pt idx="47">
                  <c:v>2.1728440241071327E-3</c:v>
                </c:pt>
                <c:pt idx="48">
                  <c:v>3.5456226214689766E-3</c:v>
                </c:pt>
                <c:pt idx="49">
                  <c:v>9.7527544941747058E-5</c:v>
                </c:pt>
                <c:pt idx="50">
                  <c:v>6.5914381026955706E-3</c:v>
                </c:pt>
                <c:pt idx="51">
                  <c:v>1.1713324743561855E-4</c:v>
                </c:pt>
                <c:pt idx="52">
                  <c:v>1.2306082974775983E-2</c:v>
                </c:pt>
                <c:pt idx="53">
                  <c:v>2.1026918479944948E-3</c:v>
                </c:pt>
                <c:pt idx="54">
                  <c:v>6.1798299135137512E-4</c:v>
                </c:pt>
                <c:pt idx="55">
                  <c:v>8.9764429025449434E-4</c:v>
                </c:pt>
                <c:pt idx="56">
                  <c:v>4.1581361392816901E-3</c:v>
                </c:pt>
                <c:pt idx="57">
                  <c:v>4.6435400163889647E-3</c:v>
                </c:pt>
                <c:pt idx="58">
                  <c:v>5.990134708914012E-4</c:v>
                </c:pt>
                <c:pt idx="59">
                  <c:v>1.7032345973398571E-2</c:v>
                </c:pt>
                <c:pt idx="60">
                  <c:v>7.4222825979957871E-3</c:v>
                </c:pt>
                <c:pt idx="61">
                  <c:v>2.0668041724136477E-4</c:v>
                </c:pt>
                <c:pt idx="62">
                  <c:v>2.8673012960201858E-3</c:v>
                </c:pt>
                <c:pt idx="63">
                  <c:v>-2.6681341404439108E-4</c:v>
                </c:pt>
                <c:pt idx="64">
                  <c:v>1.5758651286601596E-3</c:v>
                </c:pt>
                <c:pt idx="65">
                  <c:v>-7.9248226299566635E-5</c:v>
                </c:pt>
                <c:pt idx="66">
                  <c:v>6.2566104068286429E-3</c:v>
                </c:pt>
                <c:pt idx="67">
                  <c:v>1.592351646960128E-2</c:v>
                </c:pt>
                <c:pt idx="68">
                  <c:v>2.7682576721248606E-3</c:v>
                </c:pt>
                <c:pt idx="69">
                  <c:v>-3.9477485703195471E-4</c:v>
                </c:pt>
                <c:pt idx="70">
                  <c:v>9.2287307798970819E-3</c:v>
                </c:pt>
                <c:pt idx="71">
                  <c:v>1.8079694785926241E-2</c:v>
                </c:pt>
                <c:pt idx="72">
                  <c:v>1.0000908202133741E-2</c:v>
                </c:pt>
                <c:pt idx="73">
                  <c:v>4.3810281972675247E-3</c:v>
                </c:pt>
                <c:pt idx="74">
                  <c:v>2.2456063766826309E-4</c:v>
                </c:pt>
                <c:pt idx="75">
                  <c:v>1.0019784829366461E-3</c:v>
                </c:pt>
                <c:pt idx="76">
                  <c:v>3.1501331857780751E-3</c:v>
                </c:pt>
                <c:pt idx="77">
                  <c:v>1.8083871090552605E-3</c:v>
                </c:pt>
                <c:pt idx="78">
                  <c:v>-6.456361452939582E-5</c:v>
                </c:pt>
                <c:pt idx="79">
                  <c:v>1.8425729749269497E-3</c:v>
                </c:pt>
                <c:pt idx="80">
                  <c:v>7.3371064356504961E-4</c:v>
                </c:pt>
                <c:pt idx="81">
                  <c:v>1.8687212668142345E-2</c:v>
                </c:pt>
                <c:pt idx="82">
                  <c:v>2.4623771231227277E-3</c:v>
                </c:pt>
                <c:pt idx="83">
                  <c:v>5.7763419096181542E-3</c:v>
                </c:pt>
                <c:pt idx="84">
                  <c:v>1.6622321237901201E-3</c:v>
                </c:pt>
                <c:pt idx="85">
                  <c:v>1.8382090319876945E-3</c:v>
                </c:pt>
                <c:pt idx="86">
                  <c:v>1.5381417584701726E-4</c:v>
                </c:pt>
                <c:pt idx="87">
                  <c:v>5.4180958515762179E-3</c:v>
                </c:pt>
                <c:pt idx="88">
                  <c:v>2.5430053699827069E-2</c:v>
                </c:pt>
                <c:pt idx="89">
                  <c:v>1.6918035252172713E-3</c:v>
                </c:pt>
                <c:pt idx="90">
                  <c:v>3.6508153411678964E-3</c:v>
                </c:pt>
                <c:pt idx="91">
                  <c:v>4.0317597627286209E-3</c:v>
                </c:pt>
                <c:pt idx="92">
                  <c:v>1.7550345364335054E-2</c:v>
                </c:pt>
                <c:pt idx="93">
                  <c:v>-3.4250669665215861E-4</c:v>
                </c:pt>
                <c:pt idx="94">
                  <c:v>1.3172212358971423E-2</c:v>
                </c:pt>
                <c:pt idx="95">
                  <c:v>2.8821299683708945E-3</c:v>
                </c:pt>
                <c:pt idx="96">
                  <c:v>-9.5914811987394058E-4</c:v>
                </c:pt>
                <c:pt idx="97">
                  <c:v>2.1248528096751631E-4</c:v>
                </c:pt>
                <c:pt idx="98">
                  <c:v>9.1277744844858602E-4</c:v>
                </c:pt>
                <c:pt idx="99">
                  <c:v>1.9887634863023914E-4</c:v>
                </c:pt>
                <c:pt idx="100">
                  <c:v>5.9936417126309005E-3</c:v>
                </c:pt>
                <c:pt idx="101">
                  <c:v>3.9565022381564839E-3</c:v>
                </c:pt>
                <c:pt idx="102">
                  <c:v>1.1079079758069075E-3</c:v>
                </c:pt>
                <c:pt idx="103">
                  <c:v>1.4152074838090669E-2</c:v>
                </c:pt>
                <c:pt idx="104">
                  <c:v>3.8511033114748661E-3</c:v>
                </c:pt>
                <c:pt idx="105">
                  <c:v>3.6277109484146308E-3</c:v>
                </c:pt>
                <c:pt idx="106">
                  <c:v>3.7850431101244257E-3</c:v>
                </c:pt>
                <c:pt idx="107">
                  <c:v>1.3151115811166245E-3</c:v>
                </c:pt>
                <c:pt idx="108">
                  <c:v>5.0721615839286359E-3</c:v>
                </c:pt>
                <c:pt idx="109">
                  <c:v>3.8307014117515761E-2</c:v>
                </c:pt>
                <c:pt idx="110">
                  <c:v>8.3806473528412681E-2</c:v>
                </c:pt>
                <c:pt idx="111">
                  <c:v>1.2679964770499277E-3</c:v>
                </c:pt>
                <c:pt idx="112">
                  <c:v>3.0759118725472716E-3</c:v>
                </c:pt>
                <c:pt idx="113">
                  <c:v>3.311568846722701E-3</c:v>
                </c:pt>
                <c:pt idx="114">
                  <c:v>4.1536387893013997E-3</c:v>
                </c:pt>
                <c:pt idx="115">
                  <c:v>1.7917737946946315E-3</c:v>
                </c:pt>
                <c:pt idx="116">
                  <c:v>2.4359408109118751E-3</c:v>
                </c:pt>
                <c:pt idx="117">
                  <c:v>7.8202834584935772E-3</c:v>
                </c:pt>
                <c:pt idx="118">
                  <c:v>1.1230414576116569E-2</c:v>
                </c:pt>
                <c:pt idx="119">
                  <c:v>6.3113158835445049E-2</c:v>
                </c:pt>
                <c:pt idx="120">
                  <c:v>1.253515525127127E-2</c:v>
                </c:pt>
                <c:pt idx="121">
                  <c:v>4.6806929323118035E-3</c:v>
                </c:pt>
                <c:pt idx="122">
                  <c:v>5.5634189738421064E-3</c:v>
                </c:pt>
                <c:pt idx="123">
                  <c:v>1.0669005078738719E-2</c:v>
                </c:pt>
                <c:pt idx="124">
                  <c:v>1.9361810704529763E-3</c:v>
                </c:pt>
                <c:pt idx="125">
                  <c:v>6.4766839378238338E-3</c:v>
                </c:pt>
                <c:pt idx="126">
                  <c:v>3.2008104408927781E-3</c:v>
                </c:pt>
                <c:pt idx="127">
                  <c:v>8.8669950738916262E-3</c:v>
                </c:pt>
                <c:pt idx="128">
                  <c:v>4.9282654051223049E-3</c:v>
                </c:pt>
                <c:pt idx="129">
                  <c:v>1.3262186302564765E-3</c:v>
                </c:pt>
                <c:pt idx="130">
                  <c:v>-2.9514486693885583E-4</c:v>
                </c:pt>
                <c:pt idx="131">
                  <c:v>6.2409087760615087E-2</c:v>
                </c:pt>
                <c:pt idx="132">
                  <c:v>4.0971536250166149E-3</c:v>
                </c:pt>
                <c:pt idx="133">
                  <c:v>8.9052952094934197E-4</c:v>
                </c:pt>
                <c:pt idx="134">
                  <c:v>7.1621491270377159E-3</c:v>
                </c:pt>
                <c:pt idx="135">
                  <c:v>2.1486931256659019E-3</c:v>
                </c:pt>
                <c:pt idx="136">
                  <c:v>-4.6464109274628077E-4</c:v>
                </c:pt>
                <c:pt idx="137">
                  <c:v>2.7948348464241365E-3</c:v>
                </c:pt>
                <c:pt idx="138">
                  <c:v>5.4309533874905263E-3</c:v>
                </c:pt>
                <c:pt idx="139">
                  <c:v>2.6534161921203288E-3</c:v>
                </c:pt>
                <c:pt idx="140">
                  <c:v>3.0720567989168156E-3</c:v>
                </c:pt>
                <c:pt idx="141">
                  <c:v>5.5005257855530306E-3</c:v>
                </c:pt>
                <c:pt idx="142">
                  <c:v>3.2046588643454949E-3</c:v>
                </c:pt>
                <c:pt idx="143">
                  <c:v>-7.4972485467156139E-4</c:v>
                </c:pt>
                <c:pt idx="144">
                  <c:v>7.7568587198256845E-3</c:v>
                </c:pt>
                <c:pt idx="145">
                  <c:v>2.9427518601934728E-3</c:v>
                </c:pt>
                <c:pt idx="146">
                  <c:v>9.4958208908059605E-3</c:v>
                </c:pt>
                <c:pt idx="147">
                  <c:v>2.9756017144741179E-3</c:v>
                </c:pt>
                <c:pt idx="148">
                  <c:v>2.1291007252180398E-3</c:v>
                </c:pt>
                <c:pt idx="149">
                  <c:v>1.5147617822744291E-2</c:v>
                </c:pt>
                <c:pt idx="150">
                  <c:v>-2.5410691720235154E-4</c:v>
                </c:pt>
                <c:pt idx="151">
                  <c:v>1.1086997546706926E-2</c:v>
                </c:pt>
                <c:pt idx="152">
                  <c:v>1.0867503398564699E-2</c:v>
                </c:pt>
                <c:pt idx="153">
                  <c:v>7.4073109768798169E-3</c:v>
                </c:pt>
                <c:pt idx="154">
                  <c:v>2.2333891680625349E-3</c:v>
                </c:pt>
                <c:pt idx="155">
                  <c:v>2.1885278918832756E-3</c:v>
                </c:pt>
                <c:pt idx="156">
                  <c:v>5.1052298518124532E-3</c:v>
                </c:pt>
                <c:pt idx="157">
                  <c:v>-3.2435585380545735E-4</c:v>
                </c:pt>
                <c:pt idx="158">
                  <c:v>1.9268070513850934E-3</c:v>
                </c:pt>
                <c:pt idx="159">
                  <c:v>1.4029055733207443E-3</c:v>
                </c:pt>
                <c:pt idx="160">
                  <c:v>4.5873346287504706E-4</c:v>
                </c:pt>
                <c:pt idx="161">
                  <c:v>2.6639909400836752E-3</c:v>
                </c:pt>
                <c:pt idx="162">
                  <c:v>0.10825114265095021</c:v>
                </c:pt>
                <c:pt idx="163">
                  <c:v>1.2622336046830695E-2</c:v>
                </c:pt>
                <c:pt idx="164">
                  <c:v>1.6572027392586454E-3</c:v>
                </c:pt>
                <c:pt idx="165">
                  <c:v>3.2619275185675578E-3</c:v>
                </c:pt>
                <c:pt idx="166">
                  <c:v>6.9173294769824048E-2</c:v>
                </c:pt>
                <c:pt idx="167">
                  <c:v>7.9689298043728429E-2</c:v>
                </c:pt>
                <c:pt idx="168">
                  <c:v>1.2636715002329981E-3</c:v>
                </c:pt>
                <c:pt idx="169">
                  <c:v>1.268716241173857E-3</c:v>
                </c:pt>
                <c:pt idx="170">
                  <c:v>1.3832962243592781E-3</c:v>
                </c:pt>
                <c:pt idx="171">
                  <c:v>8.8022790888170322E-4</c:v>
                </c:pt>
                <c:pt idx="172">
                  <c:v>2.2667798288422093E-3</c:v>
                </c:pt>
                <c:pt idx="173">
                  <c:v>1.3889264193260734E-3</c:v>
                </c:pt>
                <c:pt idx="174">
                  <c:v>8.4497101083942528E-3</c:v>
                </c:pt>
                <c:pt idx="175">
                  <c:v>3.3667947287974553E-3</c:v>
                </c:pt>
                <c:pt idx="176">
                  <c:v>2.1195852212872357E-3</c:v>
                </c:pt>
                <c:pt idx="177">
                  <c:v>1.0436528865268368E-2</c:v>
                </c:pt>
                <c:pt idx="178">
                  <c:v>3.4032917638311531E-2</c:v>
                </c:pt>
                <c:pt idx="179">
                  <c:v>7.1981098934404211E-4</c:v>
                </c:pt>
                <c:pt idx="180">
                  <c:v>-2.3994481269308059E-3</c:v>
                </c:pt>
                <c:pt idx="181">
                  <c:v>-2.4750024750024749E-3</c:v>
                </c:pt>
                <c:pt idx="182">
                  <c:v>3.7191155522184875E-4</c:v>
                </c:pt>
                <c:pt idx="183">
                  <c:v>3.9239564305527366E-4</c:v>
                </c:pt>
                <c:pt idx="184">
                  <c:v>9.5802484827301332E-3</c:v>
                </c:pt>
                <c:pt idx="185">
                  <c:v>2.7690774864725927E-3</c:v>
                </c:pt>
                <c:pt idx="186">
                  <c:v>2.2734693021737242E-3</c:v>
                </c:pt>
                <c:pt idx="187">
                  <c:v>6.0267642955734836E-3</c:v>
                </c:pt>
                <c:pt idx="188">
                  <c:v>3.4511059684624078E-3</c:v>
                </c:pt>
                <c:pt idx="189">
                  <c:v>2.014855668727483E-3</c:v>
                </c:pt>
                <c:pt idx="190">
                  <c:v>1.9454574184929272E-3</c:v>
                </c:pt>
                <c:pt idx="191">
                  <c:v>5.5706165282028861E-2</c:v>
                </c:pt>
                <c:pt idx="192">
                  <c:v>4.1995793722733989E-3</c:v>
                </c:pt>
                <c:pt idx="193">
                  <c:v>8.0965664826031301E-4</c:v>
                </c:pt>
                <c:pt idx="194">
                  <c:v>3.1174901520344203E-3</c:v>
                </c:pt>
                <c:pt idx="195">
                  <c:v>5.8190830903102836E-3</c:v>
                </c:pt>
                <c:pt idx="196">
                  <c:v>3.5361871958419907E-3</c:v>
                </c:pt>
                <c:pt idx="197">
                  <c:v>1.1156186612576065E-3</c:v>
                </c:pt>
                <c:pt idx="198">
                  <c:v>5.8952701962314107E-4</c:v>
                </c:pt>
                <c:pt idx="199">
                  <c:v>-4.0819787301048958E-3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1-4C6C-9E22-DEC9AFA25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824848"/>
        <c:axId val="1326824368"/>
      </c:scatterChart>
      <c:valAx>
        <c:axId val="132682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24368"/>
        <c:crosses val="autoZero"/>
        <c:crossBetween val="midCat"/>
      </c:valAx>
      <c:valAx>
        <c:axId val="13268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2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2</xdr:row>
      <xdr:rowOff>20002</xdr:rowOff>
    </xdr:from>
    <xdr:to>
      <xdr:col>16</xdr:col>
      <xdr:colOff>533400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2CCD4-537B-4C03-8F00-821F9F775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2</xdr:row>
      <xdr:rowOff>145732</xdr:rowOff>
    </xdr:from>
    <xdr:to>
      <xdr:col>12</xdr:col>
      <xdr:colOff>369570</xdr:colOff>
      <xdr:row>17</xdr:row>
      <xdr:rowOff>174307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B2200-2FC1-EC18-6FBA-2796A5AB0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74294</xdr:colOff>
      <xdr:row>0</xdr:row>
      <xdr:rowOff>47625</xdr:rowOff>
    </xdr:from>
    <xdr:to>
      <xdr:col>22</xdr:col>
      <xdr:colOff>571501</xdr:colOff>
      <xdr:row>31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B7BFB-C2E1-471E-B41B-2D2109E85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32</xdr:row>
      <xdr:rowOff>65722</xdr:rowOff>
    </xdr:from>
    <xdr:to>
      <xdr:col>18</xdr:col>
      <xdr:colOff>464820</xdr:colOff>
      <xdr:row>47</xdr:row>
      <xdr:rowOff>92392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9B995-13C7-4033-8BFB-C1788879D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0</xdr:row>
      <xdr:rowOff>116204</xdr:rowOff>
    </xdr:from>
    <xdr:to>
      <xdr:col>9</xdr:col>
      <xdr:colOff>361950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426CB-31B4-44C0-B500-86754B45C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" refreshedDate="46035.7831681713" createdVersion="8" refreshedVersion="8" minRefreshableVersion="3" recordCount="200" xr:uid="{BFC0E75C-F0B5-4A95-AC27-41A51E74A7A0}">
  <cacheSource type="worksheet">
    <worksheetSource name="Engagement_Summary"/>
  </cacheSource>
  <cacheFields count="12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1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followers" numFmtId="0">
      <sharedItems containsSemiMixedTypes="0" containsString="0" containsNumber="1" containsInteger="1" minValue="-337" maxValue="1881"/>
    </cacheField>
    <cacheField name="growth rate" numFmtId="0">
      <sharedItems containsSemiMixedTypes="0" containsString="0" containsNumber="1" minValue="-4.0819787301048958E-3" maxValue="0.1082511426509502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3.0428616268120576E-3"/>
  </r>
  <r>
    <x v="0"/>
    <x v="1"/>
    <n v="1312"/>
    <n v="310"/>
    <n v="42654"/>
    <n v="4.9800000000000004"/>
    <n v="9566"/>
    <n v="1002"/>
    <n v="2.3491348994232664E-2"/>
  </r>
  <r>
    <x v="0"/>
    <x v="2"/>
    <n v="584"/>
    <n v="169"/>
    <n v="146834"/>
    <n v="8.31"/>
    <n v="26752"/>
    <n v="415"/>
    <n v="2.826320879360366E-3"/>
  </r>
  <r>
    <x v="0"/>
    <x v="3"/>
    <n v="1535"/>
    <n v="445"/>
    <n v="395536"/>
    <n v="4.1100000000000003"/>
    <n v="30671"/>
    <n v="1090"/>
    <n v="2.7557542170624167E-3"/>
  </r>
  <r>
    <x v="1"/>
    <x v="0"/>
    <n v="656"/>
    <n v="139"/>
    <n v="49157"/>
    <n v="9.0500000000000007"/>
    <n v="9920"/>
    <n v="517"/>
    <n v="1.0517322049758936E-2"/>
  </r>
  <r>
    <x v="1"/>
    <x v="1"/>
    <n v="1697"/>
    <n v="414"/>
    <n v="316555"/>
    <n v="2.37"/>
    <n v="7924"/>
    <n v="1283"/>
    <n v="4.0530081660374974E-3"/>
  </r>
  <r>
    <x v="1"/>
    <x v="2"/>
    <n v="436"/>
    <n v="250"/>
    <n v="254347"/>
    <n v="4.01"/>
    <n v="8912"/>
    <n v="186"/>
    <n v="7.3128442639386348E-4"/>
  </r>
  <r>
    <x v="1"/>
    <x v="3"/>
    <n v="1197"/>
    <n v="203"/>
    <n v="413878"/>
    <n v="3.16"/>
    <n v="21205"/>
    <n v="994"/>
    <n v="2.4016739232334168E-3"/>
  </r>
  <r>
    <x v="2"/>
    <x v="0"/>
    <n v="1048"/>
    <n v="155"/>
    <n v="456946"/>
    <n v="2.46"/>
    <n v="11329"/>
    <n v="893"/>
    <n v="1.9542790614208243E-3"/>
  </r>
  <r>
    <x v="2"/>
    <x v="1"/>
    <n v="1753"/>
    <n v="371"/>
    <n v="169496"/>
    <n v="8.11"/>
    <n v="46670"/>
    <n v="1382"/>
    <n v="8.1535847453627231E-3"/>
  </r>
  <r>
    <x v="2"/>
    <x v="2"/>
    <n v="1335"/>
    <n v="40"/>
    <n v="122732"/>
    <n v="8.19"/>
    <n v="22482"/>
    <n v="1295"/>
    <n v="1.0551445425805821E-2"/>
  </r>
  <r>
    <x v="2"/>
    <x v="3"/>
    <n v="403"/>
    <n v="66"/>
    <n v="382851"/>
    <n v="3.49"/>
    <n v="24313"/>
    <n v="337"/>
    <n v="8.80238003818718E-4"/>
  </r>
  <r>
    <x v="3"/>
    <x v="0"/>
    <n v="911"/>
    <n v="282"/>
    <n v="35664"/>
    <n v="6.92"/>
    <n v="18050"/>
    <n v="629"/>
    <n v="1.7636832660385824E-2"/>
  </r>
  <r>
    <x v="3"/>
    <x v="1"/>
    <n v="1779"/>
    <n v="109"/>
    <n v="26295"/>
    <n v="9.1199999999999992"/>
    <n v="30635"/>
    <n v="1670"/>
    <n v="6.3510173036698994E-2"/>
  </r>
  <r>
    <x v="3"/>
    <x v="2"/>
    <n v="1238"/>
    <n v="403"/>
    <n v="298421"/>
    <n v="3.5"/>
    <n v="31280"/>
    <n v="835"/>
    <n v="2.798060458211721E-3"/>
  </r>
  <r>
    <x v="3"/>
    <x v="3"/>
    <n v="308"/>
    <n v="431"/>
    <n v="426184"/>
    <n v="2.62"/>
    <n v="1783"/>
    <n v="-123"/>
    <n v="-2.8860773750305035E-4"/>
  </r>
  <r>
    <x v="4"/>
    <x v="0"/>
    <n v="226"/>
    <n v="445"/>
    <n v="419447"/>
    <n v="9.36"/>
    <n v="9566"/>
    <n v="-219"/>
    <n v="-5.2211602419375983E-4"/>
  </r>
  <r>
    <x v="4"/>
    <x v="1"/>
    <n v="505"/>
    <n v="441"/>
    <n v="220020"/>
    <n v="4.4800000000000004"/>
    <n v="42307"/>
    <n v="64"/>
    <n v="2.9088264703208797E-4"/>
  </r>
  <r>
    <x v="4"/>
    <x v="2"/>
    <n v="1420"/>
    <n v="63"/>
    <n v="315305"/>
    <n v="6.19"/>
    <n v="5914"/>
    <n v="1357"/>
    <n v="4.3037693661692649E-3"/>
  </r>
  <r>
    <x v="4"/>
    <x v="3"/>
    <n v="144"/>
    <n v="53"/>
    <n v="113678"/>
    <n v="8.7200000000000006"/>
    <n v="30060"/>
    <n v="91"/>
    <n v="8.0050669434719116E-4"/>
  </r>
  <r>
    <x v="5"/>
    <x v="0"/>
    <n v="1757"/>
    <n v="85"/>
    <n v="58223"/>
    <n v="8.74"/>
    <n v="22728"/>
    <n v="1672"/>
    <n v="2.8717173625543171E-2"/>
  </r>
  <r>
    <x v="5"/>
    <x v="1"/>
    <n v="350"/>
    <n v="41"/>
    <n v="251694"/>
    <n v="1.91"/>
    <n v="38610"/>
    <n v="309"/>
    <n v="1.2276812319721568E-3"/>
  </r>
  <r>
    <x v="5"/>
    <x v="2"/>
    <n v="987"/>
    <n v="440"/>
    <n v="389810"/>
    <n v="4.66"/>
    <n v="2932"/>
    <n v="547"/>
    <n v="1.40324773607655E-3"/>
  </r>
  <r>
    <x v="5"/>
    <x v="3"/>
    <n v="883"/>
    <n v="369"/>
    <n v="233694"/>
    <n v="2.88"/>
    <n v="15071"/>
    <n v="514"/>
    <n v="2.1994574101175039E-3"/>
  </r>
  <r>
    <x v="6"/>
    <x v="0"/>
    <n v="1960"/>
    <n v="115"/>
    <n v="154169"/>
    <n v="3.74"/>
    <n v="10740"/>
    <n v="1845"/>
    <n v="1.1967386439556591E-2"/>
  </r>
  <r>
    <x v="6"/>
    <x v="1"/>
    <n v="170"/>
    <n v="334"/>
    <n v="334626"/>
    <n v="6.44"/>
    <n v="43420"/>
    <n v="-164"/>
    <n v="-4.9009939454794306E-4"/>
  </r>
  <r>
    <x v="6"/>
    <x v="2"/>
    <n v="704"/>
    <n v="275"/>
    <n v="226002"/>
    <n v="8.56"/>
    <n v="32393"/>
    <n v="429"/>
    <n v="1.8982132901478749E-3"/>
  </r>
  <r>
    <x v="6"/>
    <x v="3"/>
    <n v="224"/>
    <n v="64"/>
    <n v="156683"/>
    <n v="4.5599999999999996"/>
    <n v="28474"/>
    <n v="160"/>
    <n v="1.0211701333265254E-3"/>
  </r>
  <r>
    <x v="7"/>
    <x v="0"/>
    <n v="508"/>
    <n v="349"/>
    <n v="473812"/>
    <n v="7.88"/>
    <n v="17328"/>
    <n v="159"/>
    <n v="3.3557613568250698E-4"/>
  </r>
  <r>
    <x v="7"/>
    <x v="1"/>
    <n v="1391"/>
    <n v="430"/>
    <n v="295032"/>
    <n v="7.86"/>
    <n v="26067"/>
    <n v="961"/>
    <n v="3.2572737872501967E-3"/>
  </r>
  <r>
    <x v="7"/>
    <x v="2"/>
    <n v="1701"/>
    <n v="385"/>
    <n v="198278"/>
    <n v="5.34"/>
    <n v="32763"/>
    <n v="1316"/>
    <n v="6.6371458255580548E-3"/>
  </r>
  <r>
    <x v="7"/>
    <x v="3"/>
    <n v="804"/>
    <n v="487"/>
    <n v="306564"/>
    <n v="5.52"/>
    <n v="26452"/>
    <n v="317"/>
    <n v="1.0340418313957282E-3"/>
  </r>
  <r>
    <x v="8"/>
    <x v="0"/>
    <n v="653"/>
    <n v="112"/>
    <n v="23664"/>
    <n v="4.05"/>
    <n v="15353"/>
    <n v="541"/>
    <n v="2.2861730899256253E-2"/>
  </r>
  <r>
    <x v="8"/>
    <x v="1"/>
    <n v="160"/>
    <n v="478"/>
    <n v="435034"/>
    <n v="7.73"/>
    <n v="4839"/>
    <n v="-318"/>
    <n v="-7.3097734889686784E-4"/>
  </r>
  <r>
    <x v="8"/>
    <x v="2"/>
    <n v="1756"/>
    <n v="261"/>
    <n v="287574"/>
    <n v="4.3600000000000003"/>
    <n v="39272"/>
    <n v="1495"/>
    <n v="5.1986619096302169E-3"/>
  </r>
  <r>
    <x v="8"/>
    <x v="3"/>
    <n v="576"/>
    <n v="101"/>
    <n v="62499"/>
    <n v="3.48"/>
    <n v="16804"/>
    <n v="475"/>
    <n v="7.600121601945631E-3"/>
  </r>
  <r>
    <x v="9"/>
    <x v="0"/>
    <n v="645"/>
    <n v="293"/>
    <n v="437968"/>
    <n v="7.83"/>
    <n v="49303"/>
    <n v="352"/>
    <n v="8.0371168669857163E-4"/>
  </r>
  <r>
    <x v="9"/>
    <x v="1"/>
    <n v="214"/>
    <n v="411"/>
    <n v="125034"/>
    <n v="6.11"/>
    <n v="26455"/>
    <n v="-197"/>
    <n v="-1.5755714445670778E-3"/>
  </r>
  <r>
    <x v="9"/>
    <x v="2"/>
    <n v="826"/>
    <n v="498"/>
    <n v="449994"/>
    <n v="9.43"/>
    <n v="12384"/>
    <n v="328"/>
    <n v="7.2889860753698943E-4"/>
  </r>
  <r>
    <x v="9"/>
    <x v="3"/>
    <n v="460"/>
    <n v="141"/>
    <n v="320650"/>
    <n v="4.04"/>
    <n v="49372"/>
    <n v="319"/>
    <n v="9.9485420240137223E-4"/>
  </r>
  <r>
    <x v="10"/>
    <x v="0"/>
    <n v="1528"/>
    <n v="203"/>
    <n v="489188"/>
    <n v="6.23"/>
    <n v="47101"/>
    <n v="1325"/>
    <n v="2.7085701202809553E-3"/>
  </r>
  <r>
    <x v="10"/>
    <x v="1"/>
    <n v="1534"/>
    <n v="200"/>
    <n v="307612"/>
    <n v="6.01"/>
    <n v="37903"/>
    <n v="1334"/>
    <n v="4.3366318609156986E-3"/>
  </r>
  <r>
    <x v="10"/>
    <x v="2"/>
    <n v="485"/>
    <n v="448"/>
    <n v="434883"/>
    <n v="8.5500000000000007"/>
    <n v="33258"/>
    <n v="37"/>
    <n v="8.5080354946042954E-5"/>
  </r>
  <r>
    <x v="10"/>
    <x v="3"/>
    <n v="1210"/>
    <n v="178"/>
    <n v="102042"/>
    <n v="5.42"/>
    <n v="6915"/>
    <n v="1032"/>
    <n v="1.011348268360087E-2"/>
  </r>
  <r>
    <x v="11"/>
    <x v="0"/>
    <n v="215"/>
    <n v="139"/>
    <n v="325444"/>
    <n v="3.25"/>
    <n v="35501"/>
    <n v="76"/>
    <n v="2.335271198731579E-4"/>
  </r>
  <r>
    <x v="11"/>
    <x v="1"/>
    <n v="1078"/>
    <n v="20"/>
    <n v="183924"/>
    <n v="8.84"/>
    <n v="14203"/>
    <n v="1058"/>
    <n v="5.7523759813836147E-3"/>
  </r>
  <r>
    <x v="11"/>
    <x v="2"/>
    <n v="1751"/>
    <n v="86"/>
    <n v="188655"/>
    <n v="7.24"/>
    <n v="22206"/>
    <n v="1665"/>
    <n v="8.825634093981077E-3"/>
  </r>
  <r>
    <x v="11"/>
    <x v="3"/>
    <n v="221"/>
    <n v="31"/>
    <n v="87443"/>
    <n v="6.19"/>
    <n v="10283"/>
    <n v="190"/>
    <n v="2.1728440241071327E-3"/>
  </r>
  <r>
    <x v="12"/>
    <x v="0"/>
    <n v="1685"/>
    <n v="76"/>
    <n v="453799"/>
    <n v="5.71"/>
    <n v="24913"/>
    <n v="1609"/>
    <n v="3.5456226214689766E-3"/>
  </r>
  <r>
    <x v="12"/>
    <x v="1"/>
    <n v="248"/>
    <n v="211"/>
    <n v="379380"/>
    <n v="9.0399999999999991"/>
    <n v="26925"/>
    <n v="37"/>
    <n v="9.7527544941747058E-5"/>
  </r>
  <r>
    <x v="12"/>
    <x v="2"/>
    <n v="1300"/>
    <n v="71"/>
    <n v="186454"/>
    <n v="3.91"/>
    <n v="9942"/>
    <n v="1229"/>
    <n v="6.5914381026955706E-3"/>
  </r>
  <r>
    <x v="12"/>
    <x v="3"/>
    <n v="422"/>
    <n v="394"/>
    <n v="239044"/>
    <n v="7.83"/>
    <n v="32929"/>
    <n v="28"/>
    <n v="1.1713324743561855E-4"/>
  </r>
  <r>
    <x v="13"/>
    <x v="0"/>
    <n v="1429"/>
    <n v="182"/>
    <n v="101332"/>
    <n v="7.16"/>
    <n v="37829"/>
    <n v="1247"/>
    <n v="1.2306082974775983E-2"/>
  </r>
  <r>
    <x v="13"/>
    <x v="1"/>
    <n v="1520"/>
    <n v="475"/>
    <n v="496982"/>
    <n v="6.41"/>
    <n v="24384"/>
    <n v="1045"/>
    <n v="2.1026918479944948E-3"/>
  </r>
  <r>
    <x v="13"/>
    <x v="2"/>
    <n v="557"/>
    <n v="360"/>
    <n v="318779"/>
    <n v="8.02"/>
    <n v="25797"/>
    <n v="197"/>
    <n v="6.1798299135137512E-4"/>
  </r>
  <r>
    <x v="13"/>
    <x v="3"/>
    <n v="728"/>
    <n v="395"/>
    <n v="370971"/>
    <n v="3.86"/>
    <n v="12646"/>
    <n v="333"/>
    <n v="8.9764429025449434E-4"/>
  </r>
  <r>
    <x v="14"/>
    <x v="0"/>
    <n v="1592"/>
    <n v="20"/>
    <n v="378054"/>
    <n v="9.09"/>
    <n v="26663"/>
    <n v="1572"/>
    <n v="4.1581361392816901E-3"/>
  </r>
  <r>
    <x v="14"/>
    <x v="1"/>
    <n v="1842"/>
    <n v="414"/>
    <n v="307524"/>
    <n v="1.76"/>
    <n v="40478"/>
    <n v="1428"/>
    <n v="4.6435400163889647E-3"/>
  </r>
  <r>
    <x v="14"/>
    <x v="2"/>
    <n v="751"/>
    <n v="491"/>
    <n v="434047"/>
    <n v="9.24"/>
    <n v="15476"/>
    <n v="260"/>
    <n v="5.990134708914012E-4"/>
  </r>
  <r>
    <x v="14"/>
    <x v="3"/>
    <n v="1409"/>
    <n v="309"/>
    <n v="64583"/>
    <n v="8.99"/>
    <n v="10217"/>
    <n v="1100"/>
    <n v="1.7032345973398571E-2"/>
  </r>
  <r>
    <x v="15"/>
    <x v="0"/>
    <n v="778"/>
    <n v="401"/>
    <n v="50793"/>
    <n v="3.4"/>
    <n v="21939"/>
    <n v="377"/>
    <n v="7.4222825979957871E-3"/>
  </r>
  <r>
    <x v="15"/>
    <x v="1"/>
    <n v="443"/>
    <n v="345"/>
    <n v="474162"/>
    <n v="9.1999999999999993"/>
    <n v="47462"/>
    <n v="98"/>
    <n v="2.0668041724136477E-4"/>
  </r>
  <r>
    <x v="15"/>
    <x v="2"/>
    <n v="1472"/>
    <n v="347"/>
    <n v="392355"/>
    <n v="8.59"/>
    <n v="30270"/>
    <n v="1125"/>
    <n v="2.8673012960201858E-3"/>
  </r>
  <r>
    <x v="15"/>
    <x v="3"/>
    <n v="123"/>
    <n v="155"/>
    <n v="119934"/>
    <n v="3.5"/>
    <n v="5442"/>
    <n v="-32"/>
    <n v="-2.6681341404439108E-4"/>
  </r>
  <r>
    <x v="16"/>
    <x v="0"/>
    <n v="817"/>
    <n v="151"/>
    <n v="422625"/>
    <n v="2.36"/>
    <n v="1083"/>
    <n v="666"/>
    <n v="1.5758651286601596E-3"/>
  </r>
  <r>
    <x v="16"/>
    <x v="1"/>
    <n v="198"/>
    <n v="217"/>
    <n v="239753"/>
    <n v="7.36"/>
    <n v="11901"/>
    <n v="-19"/>
    <n v="-7.9248226299566635E-5"/>
  </r>
  <r>
    <x v="16"/>
    <x v="2"/>
    <n v="1911"/>
    <n v="231"/>
    <n v="268516"/>
    <n v="8.5500000000000007"/>
    <n v="24018"/>
    <n v="1680"/>
    <n v="6.2566104068286429E-3"/>
  </r>
  <r>
    <x v="16"/>
    <x v="3"/>
    <n v="1218"/>
    <n v="212"/>
    <n v="63177"/>
    <n v="8.1300000000000008"/>
    <n v="38883"/>
    <n v="1006"/>
    <n v="1.592351646960128E-2"/>
  </r>
  <r>
    <x v="17"/>
    <x v="0"/>
    <n v="1433"/>
    <n v="408"/>
    <n v="370269"/>
    <n v="3.3"/>
    <n v="30575"/>
    <n v="1025"/>
    <n v="2.7682576721248606E-3"/>
  </r>
  <r>
    <x v="17"/>
    <x v="1"/>
    <n v="250"/>
    <n v="429"/>
    <n v="453423"/>
    <n v="1.77"/>
    <n v="2315"/>
    <n v="-179"/>
    <n v="-3.9477485703195471E-4"/>
  </r>
  <r>
    <x v="17"/>
    <x v="2"/>
    <n v="752"/>
    <n v="153"/>
    <n v="64906"/>
    <n v="2.09"/>
    <n v="12148"/>
    <n v="599"/>
    <n v="9.2287307798970819E-3"/>
  </r>
  <r>
    <x v="17"/>
    <x v="3"/>
    <n v="1918"/>
    <n v="212"/>
    <n v="94360"/>
    <n v="7.36"/>
    <n v="36851"/>
    <n v="1706"/>
    <n v="1.8079694785926241E-2"/>
  </r>
  <r>
    <x v="18"/>
    <x v="0"/>
    <n v="1939"/>
    <n v="67"/>
    <n v="187183"/>
    <n v="6.25"/>
    <n v="41215"/>
    <n v="1872"/>
    <n v="1.0000908202133741E-2"/>
  </r>
  <r>
    <x v="18"/>
    <x v="1"/>
    <n v="1929"/>
    <n v="267"/>
    <n v="379363"/>
    <n v="1.75"/>
    <n v="43836"/>
    <n v="1662"/>
    <n v="4.3810281972675247E-3"/>
  </r>
  <r>
    <x v="18"/>
    <x v="2"/>
    <n v="437"/>
    <n v="330"/>
    <n v="476486"/>
    <n v="4.97"/>
    <n v="4509"/>
    <n v="107"/>
    <n v="2.2456063766826309E-4"/>
  </r>
  <r>
    <x v="18"/>
    <x v="3"/>
    <n v="307"/>
    <n v="189"/>
    <n v="117767"/>
    <n v="9.3000000000000007"/>
    <n v="27822"/>
    <n v="118"/>
    <n v="1.0019784829366461E-3"/>
  </r>
  <r>
    <x v="19"/>
    <x v="0"/>
    <n v="1527"/>
    <n v="303"/>
    <n v="388555"/>
    <n v="8.9"/>
    <n v="36397"/>
    <n v="1224"/>
    <n v="3.1501331857780751E-3"/>
  </r>
  <r>
    <x v="19"/>
    <x v="1"/>
    <n v="643"/>
    <n v="358"/>
    <n v="157599"/>
    <n v="3.88"/>
    <n v="7285"/>
    <n v="285"/>
    <n v="1.8083871090552605E-3"/>
  </r>
  <r>
    <x v="19"/>
    <x v="2"/>
    <n v="201"/>
    <n v="221"/>
    <n v="309772"/>
    <n v="5.9"/>
    <n v="33174"/>
    <n v="-20"/>
    <n v="-6.456361452939582E-5"/>
  </r>
  <r>
    <x v="19"/>
    <x v="3"/>
    <n v="414"/>
    <n v="47"/>
    <n v="199178"/>
    <n v="1.53"/>
    <n v="6742"/>
    <n v="367"/>
    <n v="1.8425729749269497E-3"/>
  </r>
  <r>
    <x v="20"/>
    <x v="0"/>
    <n v="703"/>
    <n v="441"/>
    <n v="357089"/>
    <n v="6.5"/>
    <n v="32478"/>
    <n v="262"/>
    <n v="7.3371064356504961E-4"/>
  </r>
  <r>
    <x v="20"/>
    <x v="1"/>
    <n v="508"/>
    <n v="69"/>
    <n v="23492"/>
    <n v="3.16"/>
    <n v="42824"/>
    <n v="439"/>
    <n v="1.8687212668142345E-2"/>
  </r>
  <r>
    <x v="20"/>
    <x v="2"/>
    <n v="697"/>
    <n v="61"/>
    <n v="258287"/>
    <n v="8.25"/>
    <n v="21208"/>
    <n v="636"/>
    <n v="2.4623771231227277E-3"/>
  </r>
  <r>
    <x v="20"/>
    <x v="3"/>
    <n v="1707"/>
    <n v="223"/>
    <n v="256910"/>
    <n v="5.41"/>
    <n v="44321"/>
    <n v="1484"/>
    <n v="5.7763419096181542E-3"/>
  </r>
  <r>
    <x v="21"/>
    <x v="0"/>
    <n v="642"/>
    <n v="66"/>
    <n v="346522"/>
    <n v="5.85"/>
    <n v="13116"/>
    <n v="576"/>
    <n v="1.6622321237901201E-3"/>
  </r>
  <r>
    <x v="21"/>
    <x v="1"/>
    <n v="859"/>
    <n v="473"/>
    <n v="209987"/>
    <n v="4.46"/>
    <n v="30214"/>
    <n v="386"/>
    <n v="1.8382090319876945E-3"/>
  </r>
  <r>
    <x v="21"/>
    <x v="2"/>
    <n v="191"/>
    <n v="154"/>
    <n v="240550"/>
    <n v="5.22"/>
    <n v="15827"/>
    <n v="37"/>
    <n v="1.5381417584701726E-4"/>
  </r>
  <r>
    <x v="21"/>
    <x v="3"/>
    <n v="1814"/>
    <n v="157"/>
    <n v="305827"/>
    <n v="1.99"/>
    <n v="46643"/>
    <n v="1657"/>
    <n v="5.4180958515762179E-3"/>
  </r>
  <r>
    <x v="22"/>
    <x v="0"/>
    <n v="1466"/>
    <n v="69"/>
    <n v="54935"/>
    <n v="6.85"/>
    <n v="36484"/>
    <n v="1397"/>
    <n v="2.5430053699827069E-2"/>
  </r>
  <r>
    <x v="22"/>
    <x v="1"/>
    <n v="947"/>
    <n v="407"/>
    <n v="319186"/>
    <n v="3.32"/>
    <n v="4996"/>
    <n v="540"/>
    <n v="1.6918035252172713E-3"/>
  </r>
  <r>
    <x v="22"/>
    <x v="2"/>
    <n v="1821"/>
    <n v="218"/>
    <n v="439080"/>
    <n v="5.68"/>
    <n v="36095"/>
    <n v="1603"/>
    <n v="3.6508153411678964E-3"/>
  </r>
  <r>
    <x v="22"/>
    <x v="3"/>
    <n v="1507"/>
    <n v="463"/>
    <n v="258944"/>
    <n v="6.08"/>
    <n v="16443"/>
    <n v="1044"/>
    <n v="4.0317597627286209E-3"/>
  </r>
  <r>
    <x v="23"/>
    <x v="0"/>
    <n v="1075"/>
    <n v="173"/>
    <n v="51395"/>
    <n v="4.66"/>
    <n v="47812"/>
    <n v="902"/>
    <n v="1.7550345364335054E-2"/>
  </r>
  <r>
    <x v="23"/>
    <x v="1"/>
    <n v="171"/>
    <n v="277"/>
    <n v="309483"/>
    <n v="8.6999999999999993"/>
    <n v="38452"/>
    <n v="-106"/>
    <n v="-3.4250669665215861E-4"/>
  </r>
  <r>
    <x v="23"/>
    <x v="2"/>
    <n v="1487"/>
    <n v="337"/>
    <n v="87305"/>
    <n v="2.46"/>
    <n v="30428"/>
    <n v="1150"/>
    <n v="1.3172212358971423E-2"/>
  </r>
  <r>
    <x v="23"/>
    <x v="3"/>
    <n v="454"/>
    <n v="105"/>
    <n v="121091"/>
    <n v="7.97"/>
    <n v="9269"/>
    <n v="349"/>
    <n v="2.8821299683708945E-3"/>
  </r>
  <r>
    <x v="24"/>
    <x v="0"/>
    <n v="187"/>
    <n v="236"/>
    <n v="51087"/>
    <n v="9.41"/>
    <n v="29533"/>
    <n v="-49"/>
    <n v="-9.5914811987394058E-4"/>
  </r>
  <r>
    <x v="24"/>
    <x v="1"/>
    <n v="513"/>
    <n v="441"/>
    <n v="338847"/>
    <n v="2.68"/>
    <n v="39997"/>
    <n v="72"/>
    <n v="2.1248528096751631E-4"/>
  </r>
  <r>
    <x v="24"/>
    <x v="2"/>
    <n v="628"/>
    <n v="183"/>
    <n v="487523"/>
    <n v="7.32"/>
    <n v="5391"/>
    <n v="445"/>
    <n v="9.1277744844858602E-4"/>
  </r>
  <r>
    <x v="24"/>
    <x v="3"/>
    <n v="278"/>
    <n v="218"/>
    <n v="301695"/>
    <n v="4.68"/>
    <n v="22373"/>
    <n v="60"/>
    <n v="1.9887634863023914E-4"/>
  </r>
  <r>
    <x v="25"/>
    <x v="0"/>
    <n v="1854"/>
    <n v="161"/>
    <n v="282466"/>
    <n v="5.17"/>
    <n v="1810"/>
    <n v="1693"/>
    <n v="5.9936417126309005E-3"/>
  </r>
  <r>
    <x v="25"/>
    <x v="1"/>
    <n v="1710"/>
    <n v="378"/>
    <n v="336661"/>
    <n v="6.2"/>
    <n v="28498"/>
    <n v="1332"/>
    <n v="3.9565022381564839E-3"/>
  </r>
  <r>
    <x v="25"/>
    <x v="2"/>
    <n v="330"/>
    <n v="232"/>
    <n v="88455"/>
    <n v="2.69"/>
    <n v="39530"/>
    <n v="98"/>
    <n v="1.1079079758069075E-3"/>
  </r>
  <r>
    <x v="25"/>
    <x v="3"/>
    <n v="1293"/>
    <n v="408"/>
    <n v="62535"/>
    <n v="8.9"/>
    <n v="37876"/>
    <n v="885"/>
    <n v="1.4152074838090669E-2"/>
  </r>
  <r>
    <x v="26"/>
    <x v="0"/>
    <n v="1696"/>
    <n v="71"/>
    <n v="421957"/>
    <n v="3.79"/>
    <n v="36103"/>
    <n v="1625"/>
    <n v="3.8511033114748661E-3"/>
  </r>
  <r>
    <x v="26"/>
    <x v="1"/>
    <n v="1902"/>
    <n v="196"/>
    <n v="470269"/>
    <n v="4.79"/>
    <n v="26103"/>
    <n v="1706"/>
    <n v="3.6277109484146308E-3"/>
  </r>
  <r>
    <x v="26"/>
    <x v="2"/>
    <n v="1441"/>
    <n v="268"/>
    <n v="309904"/>
    <n v="6.37"/>
    <n v="3455"/>
    <n v="1173"/>
    <n v="3.7850431101244257E-3"/>
  </r>
  <r>
    <x v="26"/>
    <x v="3"/>
    <n v="452"/>
    <n v="161"/>
    <n v="221274"/>
    <n v="2.65"/>
    <n v="40888"/>
    <n v="291"/>
    <n v="1.3151115811166245E-3"/>
  </r>
  <r>
    <x v="27"/>
    <x v="0"/>
    <n v="1494"/>
    <n v="375"/>
    <n v="220616"/>
    <n v="1.81"/>
    <n v="22724"/>
    <n v="1119"/>
    <n v="5.0721615839286359E-3"/>
  </r>
  <r>
    <x v="27"/>
    <x v="1"/>
    <n v="1514"/>
    <n v="141"/>
    <n v="35842"/>
    <n v="7.47"/>
    <n v="18601"/>
    <n v="1373"/>
    <n v="3.8307014117515761E-2"/>
  </r>
  <r>
    <x v="27"/>
    <x v="2"/>
    <n v="1937"/>
    <n v="210"/>
    <n v="20607"/>
    <n v="4.2"/>
    <n v="20861"/>
    <n v="1727"/>
    <n v="8.3806473528412681E-2"/>
  </r>
  <r>
    <x v="27"/>
    <x v="3"/>
    <n v="736"/>
    <n v="163"/>
    <n v="451894"/>
    <n v="5.43"/>
    <n v="46625"/>
    <n v="573"/>
    <n v="1.2679964770499277E-3"/>
  </r>
  <r>
    <x v="28"/>
    <x v="0"/>
    <n v="1502"/>
    <n v="70"/>
    <n v="465553"/>
    <n v="3.32"/>
    <n v="20692"/>
    <n v="1432"/>
    <n v="3.0759118725472716E-3"/>
  </r>
  <r>
    <x v="28"/>
    <x v="1"/>
    <n v="1623"/>
    <n v="246"/>
    <n v="415815"/>
    <n v="8.11"/>
    <n v="18656"/>
    <n v="1377"/>
    <n v="3.311568846722701E-3"/>
  </r>
  <r>
    <x v="28"/>
    <x v="2"/>
    <n v="1592"/>
    <n v="233"/>
    <n v="327183"/>
    <n v="6.66"/>
    <n v="13316"/>
    <n v="1359"/>
    <n v="4.1536387893013997E-3"/>
  </r>
  <r>
    <x v="28"/>
    <x v="3"/>
    <n v="1004"/>
    <n v="128"/>
    <n v="488901"/>
    <n v="8.09"/>
    <n v="49558"/>
    <n v="876"/>
    <n v="1.7917737946946315E-3"/>
  </r>
  <r>
    <x v="29"/>
    <x v="0"/>
    <n v="1092"/>
    <n v="408"/>
    <n v="280795"/>
    <n v="8.44"/>
    <n v="4683"/>
    <n v="684"/>
    <n v="2.4359408109118751E-3"/>
  </r>
  <r>
    <x v="29"/>
    <x v="1"/>
    <n v="1155"/>
    <n v="425"/>
    <n v="93347"/>
    <n v="2.02"/>
    <n v="47502"/>
    <n v="730"/>
    <n v="7.8202834584935772E-3"/>
  </r>
  <r>
    <x v="29"/>
    <x v="2"/>
    <n v="1137"/>
    <n v="226"/>
    <n v="81119"/>
    <n v="7.74"/>
    <n v="35359"/>
    <n v="911"/>
    <n v="1.1230414576116569E-2"/>
  </r>
  <r>
    <x v="29"/>
    <x v="3"/>
    <n v="1900"/>
    <n v="311"/>
    <n v="25177"/>
    <n v="2.89"/>
    <n v="14154"/>
    <n v="1589"/>
    <n v="6.3113158835445049E-2"/>
  </r>
  <r>
    <x v="30"/>
    <x v="0"/>
    <n v="1814"/>
    <n v="49"/>
    <n v="140804"/>
    <n v="1.76"/>
    <n v="4313"/>
    <n v="1765"/>
    <n v="1.253515525127127E-2"/>
  </r>
  <r>
    <x v="30"/>
    <x v="1"/>
    <n v="1980"/>
    <n v="204"/>
    <n v="379431"/>
    <n v="3.09"/>
    <n v="25140"/>
    <n v="1776"/>
    <n v="4.6806929323118035E-3"/>
  </r>
  <r>
    <x v="30"/>
    <x v="2"/>
    <n v="1786"/>
    <n v="257"/>
    <n v="274831"/>
    <n v="4.68"/>
    <n v="9118"/>
    <n v="1529"/>
    <n v="5.5634189738421064E-3"/>
  </r>
  <r>
    <x v="30"/>
    <x v="3"/>
    <n v="1495"/>
    <n v="35"/>
    <n v="136845"/>
    <n v="4.4800000000000004"/>
    <n v="39931"/>
    <n v="1460"/>
    <n v="1.0669005078738719E-2"/>
  </r>
  <r>
    <x v="31"/>
    <x v="0"/>
    <n v="1013"/>
    <n v="110"/>
    <n v="466382"/>
    <n v="5.3"/>
    <n v="37132"/>
    <n v="903"/>
    <n v="1.9361810704529763E-3"/>
  </r>
  <r>
    <x v="31"/>
    <x v="1"/>
    <n v="816"/>
    <n v="196"/>
    <n v="95728"/>
    <n v="8.1999999999999993"/>
    <n v="17951"/>
    <n v="620"/>
    <n v="6.4766839378238338E-3"/>
  </r>
  <r>
    <x v="31"/>
    <x v="2"/>
    <n v="1633"/>
    <n v="445"/>
    <n v="371156"/>
    <n v="2.2200000000000002"/>
    <n v="2798"/>
    <n v="1188"/>
    <n v="3.2008104408927781E-3"/>
  </r>
  <r>
    <x v="31"/>
    <x v="3"/>
    <n v="891"/>
    <n v="45"/>
    <n v="95410"/>
    <n v="8.33"/>
    <n v="15045"/>
    <n v="846"/>
    <n v="8.8669950738916262E-3"/>
  </r>
  <r>
    <x v="32"/>
    <x v="0"/>
    <n v="1855"/>
    <n v="133"/>
    <n v="349413"/>
    <n v="3.3"/>
    <n v="14548"/>
    <n v="1722"/>
    <n v="4.9282654051223049E-3"/>
  </r>
  <r>
    <x v="32"/>
    <x v="1"/>
    <n v="651"/>
    <n v="353"/>
    <n v="224699"/>
    <n v="5.61"/>
    <n v="45708"/>
    <n v="298"/>
    <n v="1.3262186302564765E-3"/>
  </r>
  <r>
    <x v="32"/>
    <x v="2"/>
    <n v="118"/>
    <n v="262"/>
    <n v="487896"/>
    <n v="2.56"/>
    <n v="12350"/>
    <n v="-144"/>
    <n v="-2.9514486693885583E-4"/>
  </r>
  <r>
    <x v="32"/>
    <x v="3"/>
    <n v="1331"/>
    <n v="430"/>
    <n v="14437"/>
    <n v="3.29"/>
    <n v="40868"/>
    <n v="901"/>
    <n v="6.2409087760615087E-2"/>
  </r>
  <r>
    <x v="33"/>
    <x v="0"/>
    <n v="1748"/>
    <n v="176"/>
    <n v="383681"/>
    <n v="9.24"/>
    <n v="43122"/>
    <n v="1572"/>
    <n v="4.0971536250166149E-3"/>
  </r>
  <r>
    <x v="33"/>
    <x v="1"/>
    <n v="663"/>
    <n v="236"/>
    <n v="479490"/>
    <n v="4.51"/>
    <n v="23853"/>
    <n v="427"/>
    <n v="8.9052952094934197E-4"/>
  </r>
  <r>
    <x v="33"/>
    <x v="2"/>
    <n v="1040"/>
    <n v="149"/>
    <n v="124404"/>
    <n v="5.23"/>
    <n v="45380"/>
    <n v="891"/>
    <n v="7.1621491270377159E-3"/>
  </r>
  <r>
    <x v="33"/>
    <x v="3"/>
    <n v="1166"/>
    <n v="442"/>
    <n v="336949"/>
    <n v="4.68"/>
    <n v="7705"/>
    <n v="724"/>
    <n v="2.1486931256659019E-3"/>
  </r>
  <r>
    <x v="34"/>
    <x v="0"/>
    <n v="115"/>
    <n v="281"/>
    <n v="357265"/>
    <n v="9.23"/>
    <n v="25525"/>
    <n v="-166"/>
    <n v="-4.6464109274628077E-4"/>
  </r>
  <r>
    <x v="34"/>
    <x v="1"/>
    <n v="1249"/>
    <n v="351"/>
    <n v="321307"/>
    <n v="6.37"/>
    <n v="20560"/>
    <n v="898"/>
    <n v="2.7948348464241365E-3"/>
  </r>
  <r>
    <x v="34"/>
    <x v="2"/>
    <n v="1501"/>
    <n v="75"/>
    <n v="262569"/>
    <n v="2.0099999999999998"/>
    <n v="19119"/>
    <n v="1426"/>
    <n v="5.4309533874905263E-3"/>
  </r>
  <r>
    <x v="34"/>
    <x v="3"/>
    <n v="1411"/>
    <n v="186"/>
    <n v="461669"/>
    <n v="3.72"/>
    <n v="43999"/>
    <n v="1225"/>
    <n v="2.6534161921203288E-3"/>
  </r>
  <r>
    <x v="35"/>
    <x v="0"/>
    <n v="1556"/>
    <n v="476"/>
    <n v="351556"/>
    <n v="3.89"/>
    <n v="10825"/>
    <n v="1080"/>
    <n v="3.0720567989168156E-3"/>
  </r>
  <r>
    <x v="35"/>
    <x v="1"/>
    <n v="1159"/>
    <n v="411"/>
    <n v="135987"/>
    <n v="8.6999999999999993"/>
    <n v="40323"/>
    <n v="748"/>
    <n v="5.5005257855530306E-3"/>
  </r>
  <r>
    <x v="35"/>
    <x v="2"/>
    <n v="927"/>
    <n v="358"/>
    <n v="177554"/>
    <n v="6.95"/>
    <n v="48270"/>
    <n v="569"/>
    <n v="3.2046588643454949E-3"/>
  </r>
  <r>
    <x v="35"/>
    <x v="3"/>
    <n v="152"/>
    <n v="355"/>
    <n v="270766"/>
    <n v="9.48"/>
    <n v="18001"/>
    <n v="-203"/>
    <n v="-7.4972485467156139E-4"/>
  </r>
  <r>
    <x v="36"/>
    <x v="0"/>
    <n v="1957"/>
    <n v="234"/>
    <n v="222126"/>
    <n v="4.6100000000000003"/>
    <n v="3314"/>
    <n v="1723"/>
    <n v="7.7568587198256845E-3"/>
  </r>
  <r>
    <x v="36"/>
    <x v="1"/>
    <n v="1294"/>
    <n v="382"/>
    <n v="309914"/>
    <n v="8.0299999999999994"/>
    <n v="23489"/>
    <n v="912"/>
    <n v="2.9427518601934728E-3"/>
  </r>
  <r>
    <x v="36"/>
    <x v="2"/>
    <n v="1587"/>
    <n v="385"/>
    <n v="126582"/>
    <n v="6.99"/>
    <n v="42832"/>
    <n v="1202"/>
    <n v="9.4958208908059605E-3"/>
  </r>
  <r>
    <x v="36"/>
    <x v="3"/>
    <n v="1707"/>
    <n v="263"/>
    <n v="485280"/>
    <n v="9.0299999999999994"/>
    <n v="24494"/>
    <n v="1444"/>
    <n v="2.9756017144741179E-3"/>
  </r>
  <r>
    <x v="37"/>
    <x v="0"/>
    <n v="1138"/>
    <n v="173"/>
    <n v="453243"/>
    <n v="2.86"/>
    <n v="44097"/>
    <n v="965"/>
    <n v="2.1291007252180398E-3"/>
  </r>
  <r>
    <x v="37"/>
    <x v="1"/>
    <n v="1895"/>
    <n v="305"/>
    <n v="104967"/>
    <n v="3.85"/>
    <n v="31853"/>
    <n v="1590"/>
    <n v="1.5147617822744291E-2"/>
  </r>
  <r>
    <x v="37"/>
    <x v="2"/>
    <n v="362"/>
    <n v="399"/>
    <n v="145608"/>
    <n v="7.3"/>
    <n v="37636"/>
    <n v="-37"/>
    <n v="-2.5410691720235154E-4"/>
  </r>
  <r>
    <x v="37"/>
    <x v="3"/>
    <n v="1662"/>
    <n v="487"/>
    <n v="105980"/>
    <n v="9.08"/>
    <n v="22996"/>
    <n v="1175"/>
    <n v="1.1086997546706926E-2"/>
  </r>
  <r>
    <x v="38"/>
    <x v="0"/>
    <n v="1440"/>
    <n v="65"/>
    <n v="126524"/>
    <n v="4.34"/>
    <n v="49772"/>
    <n v="1375"/>
    <n v="1.0867503398564699E-2"/>
  </r>
  <r>
    <x v="38"/>
    <x v="1"/>
    <n v="1884"/>
    <n v="177"/>
    <n v="230448"/>
    <n v="7.8"/>
    <n v="22713"/>
    <n v="1707"/>
    <n v="7.4073109768798169E-3"/>
  </r>
  <r>
    <x v="38"/>
    <x v="2"/>
    <n v="861"/>
    <n v="153"/>
    <n v="317007"/>
    <n v="3.85"/>
    <n v="8718"/>
    <n v="708"/>
    <n v="2.2333891680625349E-3"/>
  </r>
  <r>
    <x v="38"/>
    <x v="3"/>
    <n v="1063"/>
    <n v="47"/>
    <n v="464239"/>
    <n v="6.58"/>
    <n v="39031"/>
    <n v="1016"/>
    <n v="2.1885278918832756E-3"/>
  </r>
  <r>
    <x v="39"/>
    <x v="0"/>
    <n v="1371"/>
    <n v="56"/>
    <n v="257579"/>
    <n v="8.6199999999999992"/>
    <n v="33799"/>
    <n v="1315"/>
    <n v="5.1052298518124532E-3"/>
  </r>
  <r>
    <x v="39"/>
    <x v="1"/>
    <n v="345"/>
    <n v="464"/>
    <n v="366881"/>
    <n v="4.55"/>
    <n v="20553"/>
    <n v="-119"/>
    <n v="-3.2435585380545735E-4"/>
  </r>
  <r>
    <x v="39"/>
    <x v="2"/>
    <n v="946"/>
    <n v="47"/>
    <n v="466575"/>
    <n v="8.33"/>
    <n v="10002"/>
    <n v="899"/>
    <n v="1.9268070513850934E-3"/>
  </r>
  <r>
    <x v="39"/>
    <x v="3"/>
    <n v="510"/>
    <n v="195"/>
    <n v="224534"/>
    <n v="9.4"/>
    <n v="30987"/>
    <n v="315"/>
    <n v="1.4029055733207443E-3"/>
  </r>
  <r>
    <x v="40"/>
    <x v="0"/>
    <n v="393"/>
    <n v="181"/>
    <n v="462142"/>
    <n v="7.23"/>
    <n v="6296"/>
    <n v="212"/>
    <n v="4.5873346287504706E-4"/>
  </r>
  <r>
    <x v="40"/>
    <x v="1"/>
    <n v="1098"/>
    <n v="190"/>
    <n v="340842"/>
    <n v="9.39"/>
    <n v="21539"/>
    <n v="908"/>
    <n v="2.6639909400836752E-3"/>
  </r>
  <r>
    <x v="40"/>
    <x v="2"/>
    <n v="1399"/>
    <n v="49"/>
    <n v="12471"/>
    <n v="5.12"/>
    <n v="14722"/>
    <n v="1350"/>
    <n v="0.10825114265095021"/>
  </r>
  <r>
    <x v="40"/>
    <x v="3"/>
    <n v="1658"/>
    <n v="416"/>
    <n v="98397"/>
    <n v="6.11"/>
    <n v="11383"/>
    <n v="1242"/>
    <n v="1.2622336046830695E-2"/>
  </r>
  <r>
    <x v="41"/>
    <x v="0"/>
    <n v="1102"/>
    <n v="422"/>
    <n v="410330"/>
    <n v="7.74"/>
    <n v="9480"/>
    <n v="680"/>
    <n v="1.6572027392586454E-3"/>
  </r>
  <r>
    <x v="41"/>
    <x v="1"/>
    <n v="1358"/>
    <n v="242"/>
    <n v="342129"/>
    <n v="4.9400000000000004"/>
    <n v="29116"/>
    <n v="1116"/>
    <n v="3.2619275185675578E-3"/>
  </r>
  <r>
    <x v="41"/>
    <x v="2"/>
    <n v="1077"/>
    <n v="216"/>
    <n v="12447"/>
    <n v="1.8"/>
    <n v="14068"/>
    <n v="861"/>
    <n v="6.9173294769824048E-2"/>
  </r>
  <r>
    <x v="41"/>
    <x v="3"/>
    <n v="1596"/>
    <n v="211"/>
    <n v="17380"/>
    <n v="8.64"/>
    <n v="35801"/>
    <n v="1385"/>
    <n v="7.9689298043728429E-2"/>
  </r>
  <r>
    <x v="42"/>
    <x v="0"/>
    <n v="490"/>
    <n v="29"/>
    <n v="364810"/>
    <n v="1.53"/>
    <n v="49077"/>
    <n v="461"/>
    <n v="1.2636715002329981E-3"/>
  </r>
  <r>
    <x v="42"/>
    <x v="1"/>
    <n v="609"/>
    <n v="135"/>
    <n v="373606"/>
    <n v="8.52"/>
    <n v="21453"/>
    <n v="474"/>
    <n v="1.268716241173857E-3"/>
  </r>
  <r>
    <x v="42"/>
    <x v="2"/>
    <n v="364"/>
    <n v="72"/>
    <n v="211090"/>
    <n v="5.53"/>
    <n v="21061"/>
    <n v="292"/>
    <n v="1.3832962243592781E-3"/>
  </r>
  <r>
    <x v="42"/>
    <x v="3"/>
    <n v="442"/>
    <n v="53"/>
    <n v="441931"/>
    <n v="1.87"/>
    <n v="20059"/>
    <n v="389"/>
    <n v="8.8022790888170322E-4"/>
  </r>
  <r>
    <x v="43"/>
    <x v="0"/>
    <n v="1033"/>
    <n v="392"/>
    <n v="282780"/>
    <n v="6.27"/>
    <n v="23140"/>
    <n v="641"/>
    <n v="2.2667798288422093E-3"/>
  </r>
  <r>
    <x v="43"/>
    <x v="1"/>
    <n v="988"/>
    <n v="474"/>
    <n v="370070"/>
    <n v="9.4600000000000009"/>
    <n v="23461"/>
    <n v="514"/>
    <n v="1.3889264193260734E-3"/>
  </r>
  <r>
    <x v="43"/>
    <x v="2"/>
    <n v="1946"/>
    <n v="270"/>
    <n v="198350"/>
    <n v="7.5"/>
    <n v="11805"/>
    <n v="1676"/>
    <n v="8.4497101083942528E-3"/>
  </r>
  <r>
    <x v="43"/>
    <x v="3"/>
    <n v="1957"/>
    <n v="490"/>
    <n v="435726"/>
    <n v="4.7300000000000004"/>
    <n v="15969"/>
    <n v="1467"/>
    <n v="3.3667947287974553E-3"/>
  </r>
  <r>
    <x v="44"/>
    <x v="0"/>
    <n v="559"/>
    <n v="392"/>
    <n v="78789"/>
    <n v="3.19"/>
    <n v="2436"/>
    <n v="167"/>
    <n v="2.1195852212872357E-3"/>
  </r>
  <r>
    <x v="44"/>
    <x v="1"/>
    <n v="1307"/>
    <n v="278"/>
    <n v="98596"/>
    <n v="2.4900000000000002"/>
    <n v="47603"/>
    <n v="1029"/>
    <n v="1.0436528865268368E-2"/>
  </r>
  <r>
    <x v="44"/>
    <x v="2"/>
    <n v="1432"/>
    <n v="425"/>
    <n v="29589"/>
    <n v="4.5"/>
    <n v="42964"/>
    <n v="1007"/>
    <n v="3.4032917638311531E-2"/>
  </r>
  <r>
    <x v="44"/>
    <x v="3"/>
    <n v="623"/>
    <n v="414"/>
    <n v="290354"/>
    <n v="6.49"/>
    <n v="39923"/>
    <n v="209"/>
    <n v="7.1981098934404211E-4"/>
  </r>
  <r>
    <x v="45"/>
    <x v="0"/>
    <n v="198"/>
    <n v="358"/>
    <n v="66682"/>
    <n v="6.73"/>
    <n v="2293"/>
    <n v="-160"/>
    <n v="-2.3994481269308059E-3"/>
  </r>
  <r>
    <x v="45"/>
    <x v="1"/>
    <n v="198"/>
    <n v="373"/>
    <n v="70707"/>
    <n v="4.83"/>
    <n v="25920"/>
    <n v="-175"/>
    <n v="-2.4750024750024749E-3"/>
  </r>
  <r>
    <x v="45"/>
    <x v="2"/>
    <n v="353"/>
    <n v="300"/>
    <n v="142507"/>
    <n v="5.3"/>
    <n v="11035"/>
    <n v="53"/>
    <n v="3.7191155522184875E-4"/>
  </r>
  <r>
    <x v="45"/>
    <x v="3"/>
    <n v="520"/>
    <n v="375"/>
    <n v="369525"/>
    <n v="6.54"/>
    <n v="20733"/>
    <n v="145"/>
    <n v="3.9239564305527366E-4"/>
  </r>
  <r>
    <x v="46"/>
    <x v="0"/>
    <n v="961"/>
    <n v="358"/>
    <n v="62942"/>
    <n v="6.8"/>
    <n v="18693"/>
    <n v="603"/>
    <n v="9.5802484827301332E-3"/>
  </r>
  <r>
    <x v="46"/>
    <x v="1"/>
    <n v="1375"/>
    <n v="330"/>
    <n v="377382"/>
    <n v="2.6"/>
    <n v="7875"/>
    <n v="1045"/>
    <n v="2.7690774864725927E-3"/>
  </r>
  <r>
    <x v="46"/>
    <x v="2"/>
    <n v="1147"/>
    <n v="388"/>
    <n v="333851"/>
    <n v="2.44"/>
    <n v="8471"/>
    <n v="759"/>
    <n v="2.2734693021737242E-3"/>
  </r>
  <r>
    <x v="46"/>
    <x v="3"/>
    <n v="1707"/>
    <n v="74"/>
    <n v="270958"/>
    <n v="3.09"/>
    <n v="14090"/>
    <n v="1633"/>
    <n v="6.0267642955734836E-3"/>
  </r>
  <r>
    <x v="47"/>
    <x v="0"/>
    <n v="1693"/>
    <n v="154"/>
    <n v="445944"/>
    <n v="5.69"/>
    <n v="14216"/>
    <n v="1539"/>
    <n v="3.4511059684624078E-3"/>
  </r>
  <r>
    <x v="47"/>
    <x v="1"/>
    <n v="833"/>
    <n v="380"/>
    <n v="224830"/>
    <n v="3.86"/>
    <n v="3582"/>
    <n v="453"/>
    <n v="2.014855668727483E-3"/>
  </r>
  <r>
    <x v="47"/>
    <x v="2"/>
    <n v="1222"/>
    <n v="274"/>
    <n v="487289"/>
    <n v="3.16"/>
    <n v="32500"/>
    <n v="948"/>
    <n v="1.9454574184929272E-3"/>
  </r>
  <r>
    <x v="47"/>
    <x v="3"/>
    <n v="777"/>
    <n v="140"/>
    <n v="11435"/>
    <n v="1.6"/>
    <n v="6832"/>
    <n v="637"/>
    <n v="5.5706165282028861E-2"/>
  </r>
  <r>
    <x v="48"/>
    <x v="0"/>
    <n v="1957"/>
    <n v="76"/>
    <n v="447902"/>
    <n v="6.09"/>
    <n v="33381"/>
    <n v="1881"/>
    <n v="4.1995793722733989E-3"/>
  </r>
  <r>
    <x v="48"/>
    <x v="1"/>
    <n v="405"/>
    <n v="66"/>
    <n v="418696"/>
    <n v="5.59"/>
    <n v="48419"/>
    <n v="339"/>
    <n v="8.0965664826031301E-4"/>
  </r>
  <r>
    <x v="48"/>
    <x v="2"/>
    <n v="1581"/>
    <n v="71"/>
    <n v="484364"/>
    <n v="3.55"/>
    <n v="16149"/>
    <n v="1510"/>
    <n v="3.1174901520344203E-3"/>
  </r>
  <r>
    <x v="48"/>
    <x v="3"/>
    <n v="1035"/>
    <n v="171"/>
    <n v="148477"/>
    <n v="5.21"/>
    <n v="7541"/>
    <n v="864"/>
    <n v="5.8190830903102836E-3"/>
  </r>
  <r>
    <x v="49"/>
    <x v="0"/>
    <n v="1765"/>
    <n v="109"/>
    <n v="468301"/>
    <n v="1.82"/>
    <n v="20042"/>
    <n v="1656"/>
    <n v="3.5361871958419907E-3"/>
  </r>
  <r>
    <x v="49"/>
    <x v="1"/>
    <n v="837"/>
    <n v="430"/>
    <n v="364820"/>
    <n v="4"/>
    <n v="49400"/>
    <n v="407"/>
    <n v="1.1156186612576065E-3"/>
  </r>
  <r>
    <x v="49"/>
    <x v="2"/>
    <n v="337"/>
    <n v="68"/>
    <n v="456298"/>
    <n v="7.57"/>
    <n v="4007"/>
    <n v="269"/>
    <n v="5.8952701962314107E-4"/>
  </r>
  <r>
    <x v="49"/>
    <x v="3"/>
    <n v="119"/>
    <n v="456"/>
    <n v="82558"/>
    <n v="6.81"/>
    <n v="12174"/>
    <n v="-337"/>
    <n v="-4.081978730104895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59239-DF05-46A0-911A-1CDBE3B49A5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55" firstHeaderRow="1" firstDataRow="2" firstDataCol="1"/>
  <pivotFields count="12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growth rate" fld="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D9AB7-AFEF-4AAF-BC24-60F72CBB7A6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4" firstHeaderRow="1" firstDataRow="1" firstDataCol="1"/>
  <pivotFields count="12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net follower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FEA6F6A-3DD0-42F6-B1F9-FE649300BE84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name="Engagement Rate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6747DB0-7615-4608-903D-E302A9193804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32B104A-81EC-47A3-8140-26C2D6962FD3}" autoFormatId="16" applyNumberFormats="0" applyBorderFormats="0" applyFontFormats="0" applyPatternFormats="0" applyAlignmentFormats="0" applyWidthHeightFormats="0">
  <queryTableRefresh nextId="12" unboundColumnsRight="2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  <queryTableField id="9" dataBound="0" tableColumnId="8"/>
      <queryTableField id="11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71DE5D4-F920-4A9E-81E5-65F30FA8FADD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46ED4-0BEF-48EC-BBA9-D47D24BDE1FD}" name="Posts" displayName="Posts" ref="A1:O301" tableType="queryTable" totalsRowShown="0">
  <autoFilter ref="A1:O301" xr:uid="{F9E46ED4-0BEF-48EC-BBA9-D47D24BDE1FD}"/>
  <sortState xmlns:xlrd2="http://schemas.microsoft.com/office/spreadsheetml/2017/richdata2" ref="A2:N301">
    <sortCondition ref="C1:C301"/>
  </sortState>
  <tableColumns count="15">
    <tableColumn id="1" xr3:uid="{CF120AB2-7019-4486-8E50-DADE02E7BFE5}" uniqueName="1" name="Post ID" queryTableFieldId="1" dataDxfId="23"/>
    <tableColumn id="2" xr3:uid="{9AC4AB0C-4CEF-4647-8325-9BB2BBFDC0C8}" uniqueName="2" name="Platform" queryTableFieldId="2" dataDxfId="22"/>
    <tableColumn id="3" xr3:uid="{E7F5DB14-2D76-41B4-BD2B-E425A0D3800C}" uniqueName="3" name="Date" queryTableFieldId="3" dataDxfId="21"/>
    <tableColumn id="4" xr3:uid="{75572CB1-E1A1-4A64-B701-BE5BEC0E048D}" uniqueName="4" name="Content Type" queryTableFieldId="4" dataDxfId="20"/>
    <tableColumn id="5" xr3:uid="{545855B0-30F1-4942-911E-20C88A1B6D5E}" uniqueName="5" name="Post Text" queryTableFieldId="5" dataDxfId="19"/>
    <tableColumn id="6" xr3:uid="{58581423-8C5E-4D1A-A55D-0B31AEC3B62C}" uniqueName="6" name="Likes" queryTableFieldId="6"/>
    <tableColumn id="7" xr3:uid="{FC6E4253-B421-49C4-AE7F-A78F229237C6}" uniqueName="7" name="Shares" queryTableFieldId="7"/>
    <tableColumn id="8" xr3:uid="{F3E4B384-1B02-4398-A7B2-B4702E9DEB82}" uniqueName="8" name="Comments" queryTableFieldId="8"/>
    <tableColumn id="9" xr3:uid="{B6A63AA5-8E7C-49C8-96BA-EA1B82F98761}" uniqueName="9" name="Impressions" queryTableFieldId="9"/>
    <tableColumn id="10" xr3:uid="{87BDCF93-C3C0-4E08-9D7B-77F22650F06F}" uniqueName="10" name="Reach" queryTableFieldId="10"/>
    <tableColumn id="11" xr3:uid="{E5238A63-3BC0-4D18-AA31-F4A4C5E5E125}" uniqueName="11" name="Clicks" queryTableFieldId="11"/>
    <tableColumn id="12" xr3:uid="{B1D067B7-85D7-47AB-9D0F-9CD5EEC8CFDB}" uniqueName="12" name="Hashtags Used" queryTableFieldId="12" dataDxfId="18"/>
    <tableColumn id="13" xr3:uid="{39637A7C-2679-476E-9F6C-AF8E2061F044}" uniqueName="13" name="Campaign_Name" queryTableFieldId="13" dataDxfId="17"/>
    <tableColumn id="14" xr3:uid="{573A788C-0A93-40B7-8687-7087E36C4411}" uniqueName="14" name="Engagement Rate" queryTableFieldId="14"/>
    <tableColumn id="15" xr3:uid="{E31E292F-D309-44E4-BD7F-5C954BE00A19}" uniqueName="15" name="Campaign Segregation" queryTableFieldId="15" dataDxfId="16">
      <calculatedColumnFormula>IF(Posts[[#This Row],[Campaign_Name]] = "Not Available", "before campaign", "after campaign")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A659F-ED3A-49A4-A159-9FCA40FD0604}" name="Engagement_Summary" displayName="Engagement_Summary" ref="A1:J201" tableType="queryTable" totalsRowShown="0">
  <autoFilter ref="A1:J201" xr:uid="{E3FA659F-ED3A-49A4-A159-9FCA40FD0604}"/>
  <tableColumns count="10">
    <tableColumn id="1" xr3:uid="{00061A7D-7AD5-4AAF-AA9C-146FE2487086}" uniqueName="1" name="Week_Start_Date" queryTableFieldId="1" dataDxfId="15"/>
    <tableColumn id="2" xr3:uid="{C4FB97E5-64C2-47D6-A773-86ACDFD6AFCF}" uniqueName="2" name="Platform" queryTableFieldId="2" dataDxfId="14"/>
    <tableColumn id="3" xr3:uid="{209D1637-DE3A-4F38-A919-920A47730C0D}" uniqueName="3" name="New_Followers" queryTableFieldId="3"/>
    <tableColumn id="4" xr3:uid="{D0BC8508-24D2-4B5A-95A8-7A166445F58A}" uniqueName="4" name="Unfollows" queryTableFieldId="4"/>
    <tableColumn id="5" xr3:uid="{17DB6C46-DBBA-4657-9A66-2573DE7320F7}" uniqueName="5" name="Total_Followers" queryTableFieldId="5"/>
    <tableColumn id="6" xr3:uid="{EAD70754-B908-491C-937D-D4470BEC61D4}" uniqueName="6" name="Engagement_Rate" queryTableFieldId="6"/>
    <tableColumn id="7" xr3:uid="{769A817B-B13F-40C8-87BE-8A059DB61EB9}" uniqueName="7" name="Ad_Spend" queryTableFieldId="7"/>
    <tableColumn id="8" xr3:uid="{22FD2348-178C-410B-BDF5-672654802627}" uniqueName="8" name="net followers" queryTableFieldId="8" dataDxfId="13">
      <calculatedColumnFormula>Engagement_Summary[[#This Row],[New_Followers]]-Engagement_Summary[[#This Row],[Unfollows]]</calculatedColumnFormula>
    </tableColumn>
    <tableColumn id="9" xr3:uid="{8D6D4DB2-EE44-44B8-940D-3619936045DF}" uniqueName="9" name="growth rate" queryTableFieldId="9" dataDxfId="12">
      <calculatedColumnFormula>Engagement_Summary[[#This Row],[net followers]]/Engagement_Summary[[#This Row],[Total_Followers]]</calculatedColumnFormula>
    </tableColumn>
    <tableColumn id="10" xr3:uid="{49754AEA-B838-4C71-8A85-DFB63A581A2D}" uniqueName="10" name="Moving Averag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76DD54-2D54-4A3A-9100-27DDBC371DCE}" name="Campaign_Metadata" displayName="Campaign_Metadata" ref="A1:I7" tableType="queryTable" totalsRowShown="0">
  <autoFilter ref="A1:I7" xr:uid="{0D76DD54-2D54-4A3A-9100-27DDBC371DCE}"/>
  <tableColumns count="9">
    <tableColumn id="1" xr3:uid="{0830ED6D-66CF-4D9C-94CF-3B4312FC5B10}" uniqueName="1" name="Campaign_Name" queryTableFieldId="1" dataDxfId="11"/>
    <tableColumn id="2" xr3:uid="{F2827687-66A7-4018-B96E-2AC8F2244775}" uniqueName="2" name="Start_Date" queryTableFieldId="2" dataDxfId="10"/>
    <tableColumn id="3" xr3:uid="{B25A7BF0-5737-4EBD-A716-1D9ACD367158}" uniqueName="3" name="End_Date" queryTableFieldId="3" dataDxfId="9"/>
    <tableColumn id="4" xr3:uid="{D0C4FBD6-2DE9-4278-95DB-56D5E62178A3}" uniqueName="4" name="Objective" queryTableFieldId="4" dataDxfId="8"/>
    <tableColumn id="5" xr3:uid="{27C8F578-5B7F-4711-9F04-2EE6E72CE338}" uniqueName="5" name="Total_Budget" queryTableFieldId="5"/>
    <tableColumn id="6" xr3:uid="{D7BC1B71-2311-44E8-9784-578F55FA2C39}" uniqueName="6" name="Target_Platforms" queryTableFieldId="6" dataDxfId="7"/>
    <tableColumn id="7" xr3:uid="{86E03B2E-F9FF-42D3-8DE7-6ECF0248D85D}" uniqueName="7" name="Primary_Hashtags" queryTableFieldId="7" dataDxfId="6"/>
    <tableColumn id="8" xr3:uid="{D8D42037-07C6-4DF5-AD6D-1598DC335DD3}" uniqueName="8" name=" Average Engagement Rate" queryTableFieldId="9" dataDxfId="5">
      <calculatedColumnFormula xml:space="preserve"> AVERAGEIF(Posts[Campaign_Name], Campaign_Metadata[[#This Row],[Campaign_Name]], Posts[Engagement Rate])</calculatedColumnFormula>
    </tableColumn>
    <tableColumn id="9" xr3:uid="{BCFC7391-3D33-41D8-B81D-B9FD81B68483}" uniqueName="9" name="ROI" queryTableFieldId="11" dataDxfId="4">
      <calculatedColumnFormula>Campaign_Metadata[[#This Row],[ Average Engagement Rate]]/Campaign_Metadata[[#This Row],[Total_Budget]]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A1D4AB-73B5-4A11-81EC-52103EC448C8}" name="Engagement_Summary5" displayName="Engagement_Summary5" ref="A1:J201" tableType="queryTable" totalsRowShown="0">
  <autoFilter ref="A1:J201" xr:uid="{E3FA659F-ED3A-49A4-A159-9FCA40FD0604}"/>
  <tableColumns count="10">
    <tableColumn id="1" xr3:uid="{A06F7E6A-AB35-4F12-AC9F-1FE10BCA1C66}" uniqueName="1" name="Week_Start_Date" queryTableFieldId="1" dataDxfId="3"/>
    <tableColumn id="2" xr3:uid="{0A6BD774-306F-417C-9900-1D064BBE4AEC}" uniqueName="2" name="Platform" queryTableFieldId="2" dataDxfId="2"/>
    <tableColumn id="3" xr3:uid="{727FABC6-ECA1-4F3C-8312-8CF6D6212432}" uniqueName="3" name="New_Followers" queryTableFieldId="3"/>
    <tableColumn id="4" xr3:uid="{3DF08A0F-5D9A-431F-88DD-03ED645705E6}" uniqueName="4" name="Unfollows" queryTableFieldId="4"/>
    <tableColumn id="5" xr3:uid="{4865ED6F-02F3-4618-8DD7-7C9C0562B0F7}" uniqueName="5" name="Total_Followers" queryTableFieldId="5"/>
    <tableColumn id="6" xr3:uid="{31DAA4B9-FC89-4B3F-8F03-277E084AE0AE}" uniqueName="6" name="Engagement_Rate" queryTableFieldId="6"/>
    <tableColumn id="7" xr3:uid="{9859D85D-2F15-427F-A7D6-93079BF9EFC3}" uniqueName="7" name="Ad_Spend" queryTableFieldId="7"/>
    <tableColumn id="8" xr3:uid="{2058EB81-1FFA-4E5B-88AC-EA3E6EDE1AE8}" uniqueName="8" name="net followers" queryTableFieldId="8" dataDxfId="1">
      <calculatedColumnFormula>Engagement_Summary5[[#This Row],[New_Followers]]-Engagement_Summary5[[#This Row],[Unfollows]]</calculatedColumnFormula>
    </tableColumn>
    <tableColumn id="9" xr3:uid="{B41127D4-F27B-4378-BB7D-38851540EFDF}" uniqueName="9" name="growth rate" queryTableFieldId="9" dataDxfId="0">
      <calculatedColumnFormula>Engagement_Summary5[[#This Row],[net followers]]/Engagement_Summary5[[#This Row],[Total_Followers]]</calculatedColumnFormula>
    </tableColumn>
    <tableColumn id="10" xr3:uid="{CD407864-74B7-45A1-9E8D-48AF7E6E5DB8}" uniqueName="10" name="Moving Averag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1D96-B626-4EF2-AA6B-529DAEFFE1BC}">
  <dimension ref="A1:O301"/>
  <sheetViews>
    <sheetView workbookViewId="0">
      <selection activeCell="E11" sqref="E11"/>
    </sheetView>
  </sheetViews>
  <sheetFormatPr defaultRowHeight="14.4" x14ac:dyDescent="0.3"/>
  <cols>
    <col min="1" max="1" width="9.44140625" bestFit="1" customWidth="1"/>
    <col min="2" max="2" width="10.6640625" bestFit="1" customWidth="1"/>
    <col min="3" max="3" width="10.33203125" bestFit="1" customWidth="1"/>
    <col min="4" max="4" width="15.109375" bestFit="1" customWidth="1"/>
    <col min="5" max="5" width="39.109375" bestFit="1" customWidth="1"/>
    <col min="6" max="6" width="7.77734375" bestFit="1" customWidth="1"/>
    <col min="7" max="7" width="9.109375" bestFit="1" customWidth="1"/>
    <col min="8" max="8" width="12.88671875" bestFit="1" customWidth="1"/>
    <col min="9" max="9" width="14" bestFit="1" customWidth="1"/>
    <col min="10" max="11" width="8.5546875" bestFit="1" customWidth="1"/>
    <col min="12" max="12" width="16.21875" bestFit="1" customWidth="1"/>
    <col min="13" max="13" width="18" bestFit="1" customWidth="1"/>
    <col min="14" max="14" width="18.5546875" bestFit="1" customWidth="1"/>
    <col min="15" max="15" width="22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382</v>
      </c>
    </row>
    <row r="2" spans="1:15" x14ac:dyDescent="0.3">
      <c r="A2" t="s">
        <v>290</v>
      </c>
      <c r="B2" t="s">
        <v>48</v>
      </c>
      <c r="C2" s="1">
        <v>45444</v>
      </c>
      <c r="D2" t="s">
        <v>67</v>
      </c>
      <c r="E2" t="s">
        <v>76</v>
      </c>
      <c r="F2">
        <v>1272</v>
      </c>
      <c r="G2">
        <v>465</v>
      </c>
      <c r="H2">
        <v>99</v>
      </c>
      <c r="I2">
        <v>24168</v>
      </c>
      <c r="J2">
        <v>23719</v>
      </c>
      <c r="K2">
        <v>42</v>
      </c>
      <c r="L2" t="s">
        <v>23</v>
      </c>
      <c r="M2" t="s">
        <v>19</v>
      </c>
      <c r="N2">
        <v>7.5968222442899705E-2</v>
      </c>
      <c r="O2" t="str">
        <f>IF(Posts[[#This Row],[Campaign_Name]] = "Not Available", "before campaign", "after campaign")</f>
        <v>before campaign</v>
      </c>
    </row>
    <row r="3" spans="1:15" x14ac:dyDescent="0.3">
      <c r="A3" t="s">
        <v>14</v>
      </c>
      <c r="B3" t="s">
        <v>15</v>
      </c>
      <c r="C3" s="1">
        <v>45445</v>
      </c>
      <c r="D3" t="s">
        <v>16</v>
      </c>
      <c r="E3" t="s">
        <v>17</v>
      </c>
      <c r="F3">
        <v>84</v>
      </c>
      <c r="G3">
        <v>897</v>
      </c>
      <c r="H3">
        <v>85</v>
      </c>
      <c r="I3">
        <v>588</v>
      </c>
      <c r="J3">
        <v>8</v>
      </c>
      <c r="K3">
        <v>12</v>
      </c>
      <c r="L3" t="s">
        <v>18</v>
      </c>
      <c r="M3" t="s">
        <v>19</v>
      </c>
      <c r="N3">
        <v>1.8129251700680271</v>
      </c>
      <c r="O3" t="str">
        <f>IF(Posts[[#This Row],[Campaign_Name]] = "Not Available", "before campaign", "after campaign")</f>
        <v>before campaign</v>
      </c>
    </row>
    <row r="4" spans="1:15" x14ac:dyDescent="0.3">
      <c r="A4" t="s">
        <v>270</v>
      </c>
      <c r="B4" t="s">
        <v>48</v>
      </c>
      <c r="C4" s="1">
        <v>45445</v>
      </c>
      <c r="D4" t="s">
        <v>38</v>
      </c>
      <c r="E4" t="s">
        <v>58</v>
      </c>
      <c r="F4">
        <v>1871</v>
      </c>
      <c r="G4">
        <v>252</v>
      </c>
      <c r="H4">
        <v>335</v>
      </c>
      <c r="I4">
        <v>29936</v>
      </c>
      <c r="J4">
        <v>29576</v>
      </c>
      <c r="K4">
        <v>288</v>
      </c>
      <c r="L4" t="s">
        <v>18</v>
      </c>
      <c r="M4" t="s">
        <v>36</v>
      </c>
      <c r="N4">
        <v>8.2108498129342594E-2</v>
      </c>
      <c r="O4" t="str">
        <f>IF(Posts[[#This Row],[Campaign_Name]] = "Not Available", "before campaign", "after campaign")</f>
        <v>after campaign</v>
      </c>
    </row>
    <row r="5" spans="1:15" x14ac:dyDescent="0.3">
      <c r="A5" t="s">
        <v>314</v>
      </c>
      <c r="B5" t="s">
        <v>15</v>
      </c>
      <c r="C5" s="1">
        <v>45446</v>
      </c>
      <c r="D5" t="s">
        <v>38</v>
      </c>
      <c r="E5" t="s">
        <v>51</v>
      </c>
      <c r="F5">
        <v>3861</v>
      </c>
      <c r="G5">
        <v>960</v>
      </c>
      <c r="H5">
        <v>101</v>
      </c>
      <c r="I5">
        <v>69498</v>
      </c>
      <c r="J5">
        <v>68817</v>
      </c>
      <c r="K5">
        <v>297</v>
      </c>
      <c r="L5" t="s">
        <v>23</v>
      </c>
      <c r="M5" t="s">
        <v>24</v>
      </c>
      <c r="N5">
        <v>7.0822181933293038E-2</v>
      </c>
      <c r="O5" t="str">
        <f>IF(Posts[[#This Row],[Campaign_Name]] = "Not Available", "before campaign", "after campaign")</f>
        <v>after campaign</v>
      </c>
    </row>
    <row r="6" spans="1:15" x14ac:dyDescent="0.3">
      <c r="A6" t="s">
        <v>96</v>
      </c>
      <c r="B6" t="s">
        <v>42</v>
      </c>
      <c r="C6" s="1">
        <v>45448</v>
      </c>
      <c r="D6" t="s">
        <v>21</v>
      </c>
      <c r="E6" t="s">
        <v>93</v>
      </c>
      <c r="F6">
        <v>3065</v>
      </c>
      <c r="G6">
        <v>772</v>
      </c>
      <c r="H6">
        <v>142</v>
      </c>
      <c r="I6">
        <v>18390</v>
      </c>
      <c r="J6">
        <v>17875</v>
      </c>
      <c r="K6">
        <v>200</v>
      </c>
      <c r="L6" t="s">
        <v>18</v>
      </c>
      <c r="M6" t="s">
        <v>19</v>
      </c>
      <c r="N6">
        <v>0.21636759108210984</v>
      </c>
      <c r="O6" t="str">
        <f>IF(Posts[[#This Row],[Campaign_Name]] = "Not Available", "before campaign", "after campaign")</f>
        <v>before campaign</v>
      </c>
    </row>
    <row r="7" spans="1:15" x14ac:dyDescent="0.3">
      <c r="A7" t="s">
        <v>99</v>
      </c>
      <c r="B7" t="s">
        <v>26</v>
      </c>
      <c r="C7" s="1">
        <v>45449</v>
      </c>
      <c r="D7" t="s">
        <v>29</v>
      </c>
      <c r="E7" t="s">
        <v>100</v>
      </c>
      <c r="F7">
        <v>1436</v>
      </c>
      <c r="G7">
        <v>765</v>
      </c>
      <c r="H7">
        <v>496</v>
      </c>
      <c r="I7">
        <v>12924</v>
      </c>
      <c r="J7">
        <v>12701</v>
      </c>
      <c r="K7">
        <v>197</v>
      </c>
      <c r="L7" t="s">
        <v>32</v>
      </c>
      <c r="M7" t="s">
        <v>36</v>
      </c>
      <c r="N7">
        <v>0.20868152274837512</v>
      </c>
      <c r="O7" t="str">
        <f>IF(Posts[[#This Row],[Campaign_Name]] = "Not Available", "before campaign", "after campaign")</f>
        <v>after campaign</v>
      </c>
    </row>
    <row r="8" spans="1:15" x14ac:dyDescent="0.3">
      <c r="A8" t="s">
        <v>259</v>
      </c>
      <c r="B8" t="s">
        <v>42</v>
      </c>
      <c r="C8" s="1">
        <v>45449</v>
      </c>
      <c r="D8" t="s">
        <v>21</v>
      </c>
      <c r="E8" t="s">
        <v>93</v>
      </c>
      <c r="F8">
        <v>2728</v>
      </c>
      <c r="G8">
        <v>533</v>
      </c>
      <c r="H8">
        <v>215</v>
      </c>
      <c r="I8">
        <v>40920</v>
      </c>
      <c r="J8">
        <v>40816</v>
      </c>
      <c r="K8">
        <v>137</v>
      </c>
      <c r="L8" t="s">
        <v>32</v>
      </c>
      <c r="M8" t="s">
        <v>40</v>
      </c>
      <c r="N8">
        <v>8.4946236559139784E-2</v>
      </c>
      <c r="O8" t="str">
        <f>IF(Posts[[#This Row],[Campaign_Name]] = "Not Available", "before campaign", "after campaign")</f>
        <v>after campaign</v>
      </c>
    </row>
    <row r="9" spans="1:15" x14ac:dyDescent="0.3">
      <c r="A9" t="s">
        <v>105</v>
      </c>
      <c r="B9" t="s">
        <v>26</v>
      </c>
      <c r="C9" s="1">
        <v>45450</v>
      </c>
      <c r="D9" t="s">
        <v>34</v>
      </c>
      <c r="E9" t="s">
        <v>35</v>
      </c>
      <c r="F9">
        <v>1556</v>
      </c>
      <c r="G9">
        <v>195</v>
      </c>
      <c r="H9">
        <v>131</v>
      </c>
      <c r="I9">
        <v>9336</v>
      </c>
      <c r="J9">
        <v>8875</v>
      </c>
      <c r="K9">
        <v>137</v>
      </c>
      <c r="L9" t="s">
        <v>23</v>
      </c>
      <c r="M9" t="s">
        <v>40</v>
      </c>
      <c r="N9">
        <v>0.2015852613538989</v>
      </c>
      <c r="O9" t="str">
        <f>IF(Posts[[#This Row],[Campaign_Name]] = "Not Available", "before campaign", "after campaign")</f>
        <v>after campaign</v>
      </c>
    </row>
    <row r="10" spans="1:15" x14ac:dyDescent="0.3">
      <c r="A10" t="s">
        <v>202</v>
      </c>
      <c r="B10" t="s">
        <v>26</v>
      </c>
      <c r="C10" s="1">
        <v>45453</v>
      </c>
      <c r="D10" t="s">
        <v>16</v>
      </c>
      <c r="E10" t="s">
        <v>27</v>
      </c>
      <c r="F10">
        <v>1575</v>
      </c>
      <c r="G10">
        <v>771</v>
      </c>
      <c r="H10">
        <v>486</v>
      </c>
      <c r="I10">
        <v>25200</v>
      </c>
      <c r="J10">
        <v>24826</v>
      </c>
      <c r="K10">
        <v>17</v>
      </c>
      <c r="L10" t="s">
        <v>32</v>
      </c>
      <c r="M10" t="s">
        <v>24</v>
      </c>
      <c r="N10">
        <v>0.11238095238095239</v>
      </c>
      <c r="O10" t="str">
        <f>IF(Posts[[#This Row],[Campaign_Name]] = "Not Available", "before campaign", "after campaign")</f>
        <v>after campaign</v>
      </c>
    </row>
    <row r="11" spans="1:15" x14ac:dyDescent="0.3">
      <c r="A11" t="s">
        <v>211</v>
      </c>
      <c r="B11" t="s">
        <v>26</v>
      </c>
      <c r="C11" s="1">
        <v>45453</v>
      </c>
      <c r="D11" t="s">
        <v>16</v>
      </c>
      <c r="E11" t="s">
        <v>27</v>
      </c>
      <c r="F11">
        <v>2164</v>
      </c>
      <c r="G11">
        <v>549</v>
      </c>
      <c r="H11">
        <v>274</v>
      </c>
      <c r="I11">
        <v>28132</v>
      </c>
      <c r="J11">
        <v>27361</v>
      </c>
      <c r="K11">
        <v>177</v>
      </c>
      <c r="L11" t="s">
        <v>23</v>
      </c>
      <c r="M11" t="s">
        <v>24</v>
      </c>
      <c r="N11">
        <v>0.10617801791554102</v>
      </c>
      <c r="O11" t="str">
        <f>IF(Posts[[#This Row],[Campaign_Name]] = "Not Available", "before campaign", "after campaign")</f>
        <v>after campaign</v>
      </c>
    </row>
    <row r="12" spans="1:15" x14ac:dyDescent="0.3">
      <c r="A12" t="s">
        <v>113</v>
      </c>
      <c r="B12" t="s">
        <v>48</v>
      </c>
      <c r="C12" s="1">
        <v>45454</v>
      </c>
      <c r="D12" t="s">
        <v>34</v>
      </c>
      <c r="E12" t="s">
        <v>114</v>
      </c>
      <c r="F12">
        <v>1869</v>
      </c>
      <c r="G12">
        <v>453</v>
      </c>
      <c r="H12">
        <v>490</v>
      </c>
      <c r="I12">
        <v>14952</v>
      </c>
      <c r="J12">
        <v>14309</v>
      </c>
      <c r="K12">
        <v>275</v>
      </c>
      <c r="L12" t="s">
        <v>23</v>
      </c>
      <c r="M12" t="s">
        <v>24</v>
      </c>
      <c r="N12">
        <v>0.18806848582129482</v>
      </c>
      <c r="O12" t="str">
        <f>IF(Posts[[#This Row],[Campaign_Name]] = "Not Available", "before campaign", "after campaign")</f>
        <v>after campaign</v>
      </c>
    </row>
    <row r="13" spans="1:15" x14ac:dyDescent="0.3">
      <c r="A13" t="s">
        <v>221</v>
      </c>
      <c r="B13" t="s">
        <v>48</v>
      </c>
      <c r="C13" s="1">
        <v>45454</v>
      </c>
      <c r="D13" t="s">
        <v>38</v>
      </c>
      <c r="E13" t="s">
        <v>58</v>
      </c>
      <c r="F13">
        <v>3689</v>
      </c>
      <c r="G13">
        <v>48</v>
      </c>
      <c r="H13">
        <v>306</v>
      </c>
      <c r="I13">
        <v>40579</v>
      </c>
      <c r="J13">
        <v>39588</v>
      </c>
      <c r="K13">
        <v>212</v>
      </c>
      <c r="L13" t="s">
        <v>18</v>
      </c>
      <c r="M13" t="s">
        <v>40</v>
      </c>
      <c r="N13">
        <v>9.9632815002833983E-2</v>
      </c>
      <c r="O13" t="str">
        <f>IF(Posts[[#This Row],[Campaign_Name]] = "Not Available", "before campaign", "after campaign")</f>
        <v>after campaign</v>
      </c>
    </row>
    <row r="14" spans="1:15" x14ac:dyDescent="0.3">
      <c r="A14" t="s">
        <v>203</v>
      </c>
      <c r="B14" t="s">
        <v>15</v>
      </c>
      <c r="C14" s="1">
        <v>45455</v>
      </c>
      <c r="D14" t="s">
        <v>67</v>
      </c>
      <c r="E14" t="s">
        <v>68</v>
      </c>
      <c r="F14">
        <v>246</v>
      </c>
      <c r="G14">
        <v>149</v>
      </c>
      <c r="H14">
        <v>130</v>
      </c>
      <c r="I14">
        <v>4674</v>
      </c>
      <c r="J14">
        <v>4390</v>
      </c>
      <c r="K14">
        <v>217</v>
      </c>
      <c r="L14" t="s">
        <v>32</v>
      </c>
      <c r="M14" t="s">
        <v>36</v>
      </c>
      <c r="N14">
        <v>0.11232349165596919</v>
      </c>
      <c r="O14" t="str">
        <f>IF(Posts[[#This Row],[Campaign_Name]] = "Not Available", "before campaign", "after campaign")</f>
        <v>after campaign</v>
      </c>
    </row>
    <row r="15" spans="1:15" x14ac:dyDescent="0.3">
      <c r="A15" t="s">
        <v>282</v>
      </c>
      <c r="B15" t="s">
        <v>48</v>
      </c>
      <c r="C15" s="1">
        <v>45456</v>
      </c>
      <c r="D15" t="s">
        <v>34</v>
      </c>
      <c r="E15" t="s">
        <v>114</v>
      </c>
      <c r="F15">
        <v>2200</v>
      </c>
      <c r="G15">
        <v>504</v>
      </c>
      <c r="H15">
        <v>239</v>
      </c>
      <c r="I15">
        <v>37400</v>
      </c>
      <c r="J15">
        <v>36938</v>
      </c>
      <c r="K15">
        <v>225</v>
      </c>
      <c r="L15" t="s">
        <v>32</v>
      </c>
      <c r="M15" t="s">
        <v>40</v>
      </c>
      <c r="N15">
        <v>7.8689839572192513E-2</v>
      </c>
      <c r="O15" t="str">
        <f>IF(Posts[[#This Row],[Campaign_Name]] = "Not Available", "before campaign", "after campaign")</f>
        <v>after campaign</v>
      </c>
    </row>
    <row r="16" spans="1:15" x14ac:dyDescent="0.3">
      <c r="A16" t="s">
        <v>283</v>
      </c>
      <c r="B16" t="s">
        <v>15</v>
      </c>
      <c r="C16" s="1">
        <v>45456</v>
      </c>
      <c r="D16" t="s">
        <v>16</v>
      </c>
      <c r="E16" t="s">
        <v>17</v>
      </c>
      <c r="F16">
        <v>2103</v>
      </c>
      <c r="G16">
        <v>892</v>
      </c>
      <c r="H16">
        <v>103</v>
      </c>
      <c r="I16">
        <v>39957</v>
      </c>
      <c r="J16">
        <v>39466</v>
      </c>
      <c r="K16">
        <v>28</v>
      </c>
      <c r="L16" t="s">
        <v>32</v>
      </c>
      <c r="M16" t="s">
        <v>19</v>
      </c>
      <c r="N16">
        <v>7.7533348349475686E-2</v>
      </c>
      <c r="O16" t="str">
        <f>IF(Posts[[#This Row],[Campaign_Name]] = "Not Available", "before campaign", "after campaign")</f>
        <v>before campaign</v>
      </c>
    </row>
    <row r="17" spans="1:15" x14ac:dyDescent="0.3">
      <c r="A17" t="s">
        <v>87</v>
      </c>
      <c r="B17" t="s">
        <v>15</v>
      </c>
      <c r="C17" s="1">
        <v>45457</v>
      </c>
      <c r="D17" t="s">
        <v>16</v>
      </c>
      <c r="E17" t="s">
        <v>17</v>
      </c>
      <c r="F17">
        <v>4363</v>
      </c>
      <c r="G17">
        <v>649</v>
      </c>
      <c r="H17">
        <v>140</v>
      </c>
      <c r="I17">
        <v>21815</v>
      </c>
      <c r="J17">
        <v>21481</v>
      </c>
      <c r="K17">
        <v>157</v>
      </c>
      <c r="L17" t="s">
        <v>18</v>
      </c>
      <c r="M17" t="s">
        <v>46</v>
      </c>
      <c r="N17">
        <v>0.23616777446710979</v>
      </c>
      <c r="O17" t="str">
        <f>IF(Posts[[#This Row],[Campaign_Name]] = "Not Available", "before campaign", "after campaign")</f>
        <v>after campaign</v>
      </c>
    </row>
    <row r="18" spans="1:15" x14ac:dyDescent="0.3">
      <c r="A18" t="s">
        <v>175</v>
      </c>
      <c r="B18" t="s">
        <v>15</v>
      </c>
      <c r="C18" s="1">
        <v>45457</v>
      </c>
      <c r="D18" t="s">
        <v>34</v>
      </c>
      <c r="E18" t="s">
        <v>60</v>
      </c>
      <c r="F18">
        <v>498</v>
      </c>
      <c r="G18">
        <v>38</v>
      </c>
      <c r="H18">
        <v>42</v>
      </c>
      <c r="I18">
        <v>4482</v>
      </c>
      <c r="J18">
        <v>3647</v>
      </c>
      <c r="K18">
        <v>32</v>
      </c>
      <c r="L18" t="s">
        <v>32</v>
      </c>
      <c r="M18" t="s">
        <v>46</v>
      </c>
      <c r="N18">
        <v>0.12896028558679162</v>
      </c>
      <c r="O18" t="str">
        <f>IF(Posts[[#This Row],[Campaign_Name]] = "Not Available", "before campaign", "after campaign")</f>
        <v>after campaign</v>
      </c>
    </row>
    <row r="19" spans="1:15" x14ac:dyDescent="0.3">
      <c r="A19" t="s">
        <v>285</v>
      </c>
      <c r="B19" t="s">
        <v>26</v>
      </c>
      <c r="C19" s="1">
        <v>45459</v>
      </c>
      <c r="D19" t="s">
        <v>29</v>
      </c>
      <c r="E19" t="s">
        <v>100</v>
      </c>
      <c r="F19">
        <v>1702</v>
      </c>
      <c r="G19">
        <v>750</v>
      </c>
      <c r="H19">
        <v>179</v>
      </c>
      <c r="I19">
        <v>34040</v>
      </c>
      <c r="J19">
        <v>33174</v>
      </c>
      <c r="K19">
        <v>76</v>
      </c>
      <c r="L19" t="s">
        <v>18</v>
      </c>
      <c r="M19" t="s">
        <v>46</v>
      </c>
      <c r="N19">
        <v>7.7291421856639245E-2</v>
      </c>
      <c r="O19" t="str">
        <f>IF(Posts[[#This Row],[Campaign_Name]] = "Not Available", "before campaign", "after campaign")</f>
        <v>after campaign</v>
      </c>
    </row>
    <row r="20" spans="1:15" x14ac:dyDescent="0.3">
      <c r="A20" t="s">
        <v>236</v>
      </c>
      <c r="B20" t="s">
        <v>48</v>
      </c>
      <c r="C20" s="1">
        <v>45460</v>
      </c>
      <c r="D20" t="s">
        <v>38</v>
      </c>
      <c r="E20" t="s">
        <v>58</v>
      </c>
      <c r="F20">
        <v>1226</v>
      </c>
      <c r="G20">
        <v>119</v>
      </c>
      <c r="H20">
        <v>7</v>
      </c>
      <c r="I20">
        <v>14712</v>
      </c>
      <c r="J20">
        <v>14049</v>
      </c>
      <c r="K20">
        <v>123</v>
      </c>
      <c r="L20" t="s">
        <v>18</v>
      </c>
      <c r="M20" t="s">
        <v>24</v>
      </c>
      <c r="N20">
        <v>9.1897770527460579E-2</v>
      </c>
      <c r="O20" t="str">
        <f>IF(Posts[[#This Row],[Campaign_Name]] = "Not Available", "before campaign", "after campaign")</f>
        <v>after campaign</v>
      </c>
    </row>
    <row r="21" spans="1:15" x14ac:dyDescent="0.3">
      <c r="A21" t="s">
        <v>271</v>
      </c>
      <c r="B21" t="s">
        <v>26</v>
      </c>
      <c r="C21" s="1">
        <v>45460</v>
      </c>
      <c r="D21" t="s">
        <v>38</v>
      </c>
      <c r="E21" t="s">
        <v>39</v>
      </c>
      <c r="F21">
        <v>954</v>
      </c>
      <c r="G21">
        <v>324</v>
      </c>
      <c r="H21">
        <v>288</v>
      </c>
      <c r="I21">
        <v>19080</v>
      </c>
      <c r="J21">
        <v>18859</v>
      </c>
      <c r="K21">
        <v>21</v>
      </c>
      <c r="L21" t="s">
        <v>32</v>
      </c>
      <c r="M21" t="s">
        <v>24</v>
      </c>
      <c r="N21">
        <v>8.2075471698113203E-2</v>
      </c>
      <c r="O21" t="str">
        <f>IF(Posts[[#This Row],[Campaign_Name]] = "Not Available", "before campaign", "after campaign")</f>
        <v>after campaign</v>
      </c>
    </row>
    <row r="22" spans="1:15" x14ac:dyDescent="0.3">
      <c r="A22" t="s">
        <v>119</v>
      </c>
      <c r="B22" t="s">
        <v>48</v>
      </c>
      <c r="C22" s="1">
        <v>45462</v>
      </c>
      <c r="D22" t="s">
        <v>34</v>
      </c>
      <c r="E22" t="s">
        <v>114</v>
      </c>
      <c r="F22">
        <v>4731</v>
      </c>
      <c r="G22">
        <v>173</v>
      </c>
      <c r="H22">
        <v>276</v>
      </c>
      <c r="I22">
        <v>28386</v>
      </c>
      <c r="J22">
        <v>28185</v>
      </c>
      <c r="K22">
        <v>89</v>
      </c>
      <c r="L22" t="s">
        <v>18</v>
      </c>
      <c r="M22" t="s">
        <v>36</v>
      </c>
      <c r="N22">
        <v>0.18248432325794406</v>
      </c>
      <c r="O22" t="str">
        <f>IF(Posts[[#This Row],[Campaign_Name]] = "Not Available", "before campaign", "after campaign")</f>
        <v>after campaign</v>
      </c>
    </row>
    <row r="23" spans="1:15" x14ac:dyDescent="0.3">
      <c r="A23" t="s">
        <v>350</v>
      </c>
      <c r="B23" t="s">
        <v>26</v>
      </c>
      <c r="C23" s="1">
        <v>45463</v>
      </c>
      <c r="D23" t="s">
        <v>34</v>
      </c>
      <c r="E23" t="s">
        <v>35</v>
      </c>
      <c r="F23">
        <v>4672</v>
      </c>
      <c r="G23">
        <v>325</v>
      </c>
      <c r="H23">
        <v>32</v>
      </c>
      <c r="I23">
        <v>88768</v>
      </c>
      <c r="J23">
        <v>87833</v>
      </c>
      <c r="K23">
        <v>118</v>
      </c>
      <c r="L23" t="s">
        <v>18</v>
      </c>
      <c r="M23" t="s">
        <v>19</v>
      </c>
      <c r="N23">
        <v>5.6653298485940883E-2</v>
      </c>
      <c r="O23" t="str">
        <f>IF(Posts[[#This Row],[Campaign_Name]] = "Not Available", "before campaign", "after campaign")</f>
        <v>before campaign</v>
      </c>
    </row>
    <row r="24" spans="1:15" x14ac:dyDescent="0.3">
      <c r="A24" t="s">
        <v>354</v>
      </c>
      <c r="B24" t="s">
        <v>48</v>
      </c>
      <c r="C24" s="1">
        <v>45463</v>
      </c>
      <c r="D24" t="s">
        <v>29</v>
      </c>
      <c r="E24" t="s">
        <v>49</v>
      </c>
      <c r="F24">
        <v>3798</v>
      </c>
      <c r="G24">
        <v>31</v>
      </c>
      <c r="H24">
        <v>279</v>
      </c>
      <c r="I24">
        <v>75960</v>
      </c>
      <c r="J24">
        <v>75813</v>
      </c>
      <c r="K24">
        <v>266</v>
      </c>
      <c r="L24" t="s">
        <v>23</v>
      </c>
      <c r="M24" t="s">
        <v>46</v>
      </c>
      <c r="N24">
        <v>5.4081095313322801E-2</v>
      </c>
      <c r="O24" t="str">
        <f>IF(Posts[[#This Row],[Campaign_Name]] = "Not Available", "before campaign", "after campaign")</f>
        <v>after campaign</v>
      </c>
    </row>
    <row r="25" spans="1:15" x14ac:dyDescent="0.3">
      <c r="A25" t="s">
        <v>337</v>
      </c>
      <c r="B25" t="s">
        <v>42</v>
      </c>
      <c r="C25" s="1">
        <v>45464</v>
      </c>
      <c r="D25" t="s">
        <v>38</v>
      </c>
      <c r="E25" t="s">
        <v>45</v>
      </c>
      <c r="F25">
        <v>4832</v>
      </c>
      <c r="G25">
        <v>893</v>
      </c>
      <c r="H25">
        <v>10</v>
      </c>
      <c r="I25">
        <v>91808</v>
      </c>
      <c r="J25">
        <v>91296</v>
      </c>
      <c r="K25">
        <v>182</v>
      </c>
      <c r="L25" t="s">
        <v>23</v>
      </c>
      <c r="M25" t="s">
        <v>19</v>
      </c>
      <c r="N25">
        <v>6.2467323109097243E-2</v>
      </c>
      <c r="O25" t="str">
        <f>IF(Posts[[#This Row],[Campaign_Name]] = "Not Available", "before campaign", "after campaign")</f>
        <v>before campaign</v>
      </c>
    </row>
    <row r="26" spans="1:15" x14ac:dyDescent="0.3">
      <c r="A26" t="s">
        <v>158</v>
      </c>
      <c r="B26" t="s">
        <v>48</v>
      </c>
      <c r="C26" s="1">
        <v>45465</v>
      </c>
      <c r="D26" t="s">
        <v>67</v>
      </c>
      <c r="E26" t="s">
        <v>76</v>
      </c>
      <c r="F26">
        <v>3828</v>
      </c>
      <c r="G26">
        <v>148</v>
      </c>
      <c r="H26">
        <v>253</v>
      </c>
      <c r="I26">
        <v>30624</v>
      </c>
      <c r="J26">
        <v>30229</v>
      </c>
      <c r="K26">
        <v>235</v>
      </c>
      <c r="L26" t="s">
        <v>18</v>
      </c>
      <c r="M26" t="s">
        <v>19</v>
      </c>
      <c r="N26">
        <v>0.13809430512016718</v>
      </c>
      <c r="O26" t="str">
        <f>IF(Posts[[#This Row],[Campaign_Name]] = "Not Available", "before campaign", "after campaign")</f>
        <v>before campaign</v>
      </c>
    </row>
    <row r="27" spans="1:15" x14ac:dyDescent="0.3">
      <c r="A27" t="s">
        <v>234</v>
      </c>
      <c r="B27" t="s">
        <v>15</v>
      </c>
      <c r="C27" s="1">
        <v>45465</v>
      </c>
      <c r="D27" t="s">
        <v>67</v>
      </c>
      <c r="E27" t="s">
        <v>68</v>
      </c>
      <c r="F27">
        <v>2180</v>
      </c>
      <c r="G27">
        <v>263</v>
      </c>
      <c r="H27">
        <v>387</v>
      </c>
      <c r="I27">
        <v>30520</v>
      </c>
      <c r="J27">
        <v>30059</v>
      </c>
      <c r="K27">
        <v>174</v>
      </c>
      <c r="L27" t="s">
        <v>18</v>
      </c>
      <c r="M27" t="s">
        <v>19</v>
      </c>
      <c r="N27">
        <v>9.2726081258191345E-2</v>
      </c>
      <c r="O27" t="str">
        <f>IF(Posts[[#This Row],[Campaign_Name]] = "Not Available", "before campaign", "after campaign")</f>
        <v>before campaign</v>
      </c>
    </row>
    <row r="28" spans="1:15" x14ac:dyDescent="0.3">
      <c r="A28" t="s">
        <v>299</v>
      </c>
      <c r="B28" t="s">
        <v>48</v>
      </c>
      <c r="C28" s="1">
        <v>45465</v>
      </c>
      <c r="D28" t="s">
        <v>21</v>
      </c>
      <c r="E28" t="s">
        <v>117</v>
      </c>
      <c r="F28">
        <v>3813</v>
      </c>
      <c r="G28">
        <v>935</v>
      </c>
      <c r="H28">
        <v>274</v>
      </c>
      <c r="I28">
        <v>68634</v>
      </c>
      <c r="J28">
        <v>68488</v>
      </c>
      <c r="K28">
        <v>251</v>
      </c>
      <c r="L28" t="s">
        <v>32</v>
      </c>
      <c r="M28" t="s">
        <v>19</v>
      </c>
      <c r="N28">
        <v>7.3170731707317069E-2</v>
      </c>
      <c r="O28" t="str">
        <f>IF(Posts[[#This Row],[Campaign_Name]] = "Not Available", "before campaign", "after campaign")</f>
        <v>before campaign</v>
      </c>
    </row>
    <row r="29" spans="1:15" x14ac:dyDescent="0.3">
      <c r="A29" t="s">
        <v>218</v>
      </c>
      <c r="B29" t="s">
        <v>15</v>
      </c>
      <c r="C29" s="1">
        <v>45466</v>
      </c>
      <c r="D29" t="s">
        <v>29</v>
      </c>
      <c r="E29" t="s">
        <v>30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23</v>
      </c>
      <c r="M29" t="s">
        <v>24</v>
      </c>
      <c r="N29">
        <v>0.10034235916588857</v>
      </c>
      <c r="O29" t="str">
        <f>IF(Posts[[#This Row],[Campaign_Name]] = "Not Available", "before campaign", "after campaign")</f>
        <v>after campaign</v>
      </c>
    </row>
    <row r="30" spans="1:15" x14ac:dyDescent="0.3">
      <c r="A30" t="s">
        <v>209</v>
      </c>
      <c r="B30" t="s">
        <v>26</v>
      </c>
      <c r="C30" s="1">
        <v>45467</v>
      </c>
      <c r="D30" t="s">
        <v>67</v>
      </c>
      <c r="E30" t="s">
        <v>84</v>
      </c>
      <c r="F30">
        <v>941</v>
      </c>
      <c r="G30">
        <v>121</v>
      </c>
      <c r="H30">
        <v>458</v>
      </c>
      <c r="I30">
        <v>14115</v>
      </c>
      <c r="J30">
        <v>13838</v>
      </c>
      <c r="K30">
        <v>87</v>
      </c>
      <c r="L30" t="s">
        <v>18</v>
      </c>
      <c r="M30" t="s">
        <v>46</v>
      </c>
      <c r="N30">
        <v>0.10768685795253277</v>
      </c>
      <c r="O30" t="str">
        <f>IF(Posts[[#This Row],[Campaign_Name]] = "Not Available", "before campaign", "after campaign")</f>
        <v>after campaign</v>
      </c>
    </row>
    <row r="31" spans="1:15" x14ac:dyDescent="0.3">
      <c r="A31" t="s">
        <v>253</v>
      </c>
      <c r="B31" t="s">
        <v>42</v>
      </c>
      <c r="C31" s="1">
        <v>45467</v>
      </c>
      <c r="D31" t="s">
        <v>29</v>
      </c>
      <c r="E31" t="s">
        <v>74</v>
      </c>
      <c r="F31">
        <v>2949</v>
      </c>
      <c r="G31">
        <v>476</v>
      </c>
      <c r="H31">
        <v>403</v>
      </c>
      <c r="I31">
        <v>44235</v>
      </c>
      <c r="J31">
        <v>43705</v>
      </c>
      <c r="K31">
        <v>135</v>
      </c>
      <c r="L31" t="s">
        <v>23</v>
      </c>
      <c r="M31" t="s">
        <v>40</v>
      </c>
      <c r="N31">
        <v>8.6537809426924378E-2</v>
      </c>
      <c r="O31" t="str">
        <f>IF(Posts[[#This Row],[Campaign_Name]] = "Not Available", "before campaign", "after campaign")</f>
        <v>after campaign</v>
      </c>
    </row>
    <row r="32" spans="1:15" x14ac:dyDescent="0.3">
      <c r="A32" t="s">
        <v>316</v>
      </c>
      <c r="B32" t="s">
        <v>26</v>
      </c>
      <c r="C32" s="1">
        <v>45467</v>
      </c>
      <c r="D32" t="s">
        <v>34</v>
      </c>
      <c r="E32" t="s">
        <v>35</v>
      </c>
      <c r="F32">
        <v>3860</v>
      </c>
      <c r="G32">
        <v>201</v>
      </c>
      <c r="H32">
        <v>279</v>
      </c>
      <c r="I32">
        <v>61760</v>
      </c>
      <c r="J32">
        <v>61660</v>
      </c>
      <c r="K32">
        <v>235</v>
      </c>
      <c r="L32" t="s">
        <v>23</v>
      </c>
      <c r="M32" t="s">
        <v>40</v>
      </c>
      <c r="N32">
        <v>7.0272020725388601E-2</v>
      </c>
      <c r="O32" t="str">
        <f>IF(Posts[[#This Row],[Campaign_Name]] = "Not Available", "before campaign", "after campaign")</f>
        <v>after campaign</v>
      </c>
    </row>
    <row r="33" spans="1:15" x14ac:dyDescent="0.3">
      <c r="A33" t="s">
        <v>324</v>
      </c>
      <c r="B33" t="s">
        <v>42</v>
      </c>
      <c r="C33" s="1">
        <v>45469</v>
      </c>
      <c r="D33" t="s">
        <v>21</v>
      </c>
      <c r="E33" t="s">
        <v>93</v>
      </c>
      <c r="F33">
        <v>3557</v>
      </c>
      <c r="G33">
        <v>687</v>
      </c>
      <c r="H33">
        <v>424</v>
      </c>
      <c r="I33">
        <v>71140</v>
      </c>
      <c r="J33">
        <v>70701</v>
      </c>
      <c r="K33">
        <v>224</v>
      </c>
      <c r="L33" t="s">
        <v>18</v>
      </c>
      <c r="M33" t="s">
        <v>46</v>
      </c>
      <c r="N33">
        <v>6.5617093055946027E-2</v>
      </c>
      <c r="O33" t="str">
        <f>IF(Posts[[#This Row],[Campaign_Name]] = "Not Available", "before campaign", "after campaign")</f>
        <v>after campaign</v>
      </c>
    </row>
    <row r="34" spans="1:15" x14ac:dyDescent="0.3">
      <c r="A34" t="s">
        <v>273</v>
      </c>
      <c r="B34" t="s">
        <v>15</v>
      </c>
      <c r="C34" s="1">
        <v>45474</v>
      </c>
      <c r="D34" t="s">
        <v>16</v>
      </c>
      <c r="E34" t="s">
        <v>17</v>
      </c>
      <c r="F34">
        <v>4808</v>
      </c>
      <c r="G34">
        <v>772</v>
      </c>
      <c r="H34">
        <v>320</v>
      </c>
      <c r="I34">
        <v>72120</v>
      </c>
      <c r="J34">
        <v>71696</v>
      </c>
      <c r="K34">
        <v>195</v>
      </c>
      <c r="L34" t="s">
        <v>18</v>
      </c>
      <c r="M34" t="s">
        <v>46</v>
      </c>
      <c r="N34">
        <v>8.1808097615085965E-2</v>
      </c>
      <c r="O34" t="str">
        <f>IF(Posts[[#This Row],[Campaign_Name]] = "Not Available", "before campaign", "after campaign")</f>
        <v>after campaign</v>
      </c>
    </row>
    <row r="35" spans="1:15" x14ac:dyDescent="0.3">
      <c r="A35" t="s">
        <v>308</v>
      </c>
      <c r="B35" t="s">
        <v>42</v>
      </c>
      <c r="C35" s="1">
        <v>45475</v>
      </c>
      <c r="D35" t="s">
        <v>34</v>
      </c>
      <c r="E35" t="s">
        <v>43</v>
      </c>
      <c r="F35">
        <v>4171</v>
      </c>
      <c r="G35">
        <v>548</v>
      </c>
      <c r="H35">
        <v>86</v>
      </c>
      <c r="I35">
        <v>66736</v>
      </c>
      <c r="J35">
        <v>66634</v>
      </c>
      <c r="K35">
        <v>173</v>
      </c>
      <c r="L35" t="s">
        <v>32</v>
      </c>
      <c r="M35" t="s">
        <v>36</v>
      </c>
      <c r="N35">
        <v>7.2000119875329657E-2</v>
      </c>
      <c r="O35" t="str">
        <f>IF(Posts[[#This Row],[Campaign_Name]] = "Not Available", "before campaign", "after campaign")</f>
        <v>after campaign</v>
      </c>
    </row>
    <row r="36" spans="1:15" x14ac:dyDescent="0.3">
      <c r="A36" t="s">
        <v>166</v>
      </c>
      <c r="B36" t="s">
        <v>42</v>
      </c>
      <c r="C36" s="1">
        <v>45476</v>
      </c>
      <c r="D36" t="s">
        <v>16</v>
      </c>
      <c r="E36" t="s">
        <v>160</v>
      </c>
      <c r="F36">
        <v>2754</v>
      </c>
      <c r="G36">
        <v>130</v>
      </c>
      <c r="H36">
        <v>90</v>
      </c>
      <c r="I36">
        <v>22032</v>
      </c>
      <c r="J36">
        <v>21288</v>
      </c>
      <c r="K36">
        <v>112</v>
      </c>
      <c r="L36" t="s">
        <v>23</v>
      </c>
      <c r="M36" t="s">
        <v>36</v>
      </c>
      <c r="N36">
        <v>0.13498547567175018</v>
      </c>
      <c r="O36" t="str">
        <f>IF(Posts[[#This Row],[Campaign_Name]] = "Not Available", "before campaign", "after campaign")</f>
        <v>after campaign</v>
      </c>
    </row>
    <row r="37" spans="1:15" x14ac:dyDescent="0.3">
      <c r="A37" t="s">
        <v>168</v>
      </c>
      <c r="B37" t="s">
        <v>15</v>
      </c>
      <c r="C37" s="1">
        <v>45476</v>
      </c>
      <c r="D37" t="s">
        <v>34</v>
      </c>
      <c r="E37" t="s">
        <v>60</v>
      </c>
      <c r="F37">
        <v>4799</v>
      </c>
      <c r="G37">
        <v>694</v>
      </c>
      <c r="H37">
        <v>289</v>
      </c>
      <c r="I37">
        <v>43191</v>
      </c>
      <c r="J37">
        <v>42228</v>
      </c>
      <c r="K37">
        <v>118</v>
      </c>
      <c r="L37" t="s">
        <v>23</v>
      </c>
      <c r="M37" t="s">
        <v>19</v>
      </c>
      <c r="N37">
        <v>0.13387048227640017</v>
      </c>
      <c r="O37" t="str">
        <f>IF(Posts[[#This Row],[Campaign_Name]] = "Not Available", "before campaign", "after campaign")</f>
        <v>before campaign</v>
      </c>
    </row>
    <row r="38" spans="1:15" x14ac:dyDescent="0.3">
      <c r="A38" t="s">
        <v>116</v>
      </c>
      <c r="B38" t="s">
        <v>48</v>
      </c>
      <c r="C38" s="1">
        <v>45480</v>
      </c>
      <c r="D38" t="s">
        <v>21</v>
      </c>
      <c r="E38" t="s">
        <v>117</v>
      </c>
      <c r="F38">
        <v>4767</v>
      </c>
      <c r="G38">
        <v>190</v>
      </c>
      <c r="H38">
        <v>340</v>
      </c>
      <c r="I38">
        <v>28602</v>
      </c>
      <c r="J38">
        <v>28044</v>
      </c>
      <c r="K38">
        <v>210</v>
      </c>
      <c r="L38" t="s">
        <v>18</v>
      </c>
      <c r="M38" t="s">
        <v>36</v>
      </c>
      <c r="N38">
        <v>0.18519683938186141</v>
      </c>
      <c r="O38" t="str">
        <f>IF(Posts[[#This Row],[Campaign_Name]] = "Not Available", "before campaign", "after campaign")</f>
        <v>after campaign</v>
      </c>
    </row>
    <row r="39" spans="1:15" x14ac:dyDescent="0.3">
      <c r="A39" t="s">
        <v>164</v>
      </c>
      <c r="B39" t="s">
        <v>48</v>
      </c>
      <c r="C39" s="1">
        <v>45480</v>
      </c>
      <c r="D39" t="s">
        <v>16</v>
      </c>
      <c r="E39" t="s">
        <v>72</v>
      </c>
      <c r="F39">
        <v>302</v>
      </c>
      <c r="G39">
        <v>47</v>
      </c>
      <c r="H39">
        <v>430</v>
      </c>
      <c r="I39">
        <v>5738</v>
      </c>
      <c r="J39">
        <v>4890</v>
      </c>
      <c r="K39">
        <v>25</v>
      </c>
      <c r="L39" t="s">
        <v>23</v>
      </c>
      <c r="M39" t="s">
        <v>24</v>
      </c>
      <c r="N39">
        <v>0.13576158940397351</v>
      </c>
      <c r="O39" t="str">
        <f>IF(Posts[[#This Row],[Campaign_Name]] = "Not Available", "before campaign", "after campaign")</f>
        <v>after campaign</v>
      </c>
    </row>
    <row r="40" spans="1:15" x14ac:dyDescent="0.3">
      <c r="A40" t="s">
        <v>237</v>
      </c>
      <c r="B40" t="s">
        <v>15</v>
      </c>
      <c r="C40" s="1">
        <v>45483</v>
      </c>
      <c r="D40" t="s">
        <v>34</v>
      </c>
      <c r="E40" t="s">
        <v>60</v>
      </c>
      <c r="F40">
        <v>3099</v>
      </c>
      <c r="G40">
        <v>694</v>
      </c>
      <c r="H40">
        <v>171</v>
      </c>
      <c r="I40">
        <v>43386</v>
      </c>
      <c r="J40">
        <v>42921</v>
      </c>
      <c r="K40">
        <v>52</v>
      </c>
      <c r="L40" t="s">
        <v>23</v>
      </c>
      <c r="M40" t="s">
        <v>36</v>
      </c>
      <c r="N40">
        <v>9.1365878393951966E-2</v>
      </c>
      <c r="O40" t="str">
        <f>IF(Posts[[#This Row],[Campaign_Name]] = "Not Available", "before campaign", "after campaign")</f>
        <v>after campaign</v>
      </c>
    </row>
    <row r="41" spans="1:15" x14ac:dyDescent="0.3">
      <c r="A41" t="s">
        <v>103</v>
      </c>
      <c r="B41" t="s">
        <v>15</v>
      </c>
      <c r="C41" s="1">
        <v>45484</v>
      </c>
      <c r="D41" t="s">
        <v>67</v>
      </c>
      <c r="E41" t="s">
        <v>68</v>
      </c>
      <c r="F41">
        <v>3134</v>
      </c>
      <c r="G41">
        <v>888</v>
      </c>
      <c r="H41">
        <v>444</v>
      </c>
      <c r="I41">
        <v>21938</v>
      </c>
      <c r="J41">
        <v>21337</v>
      </c>
      <c r="K41">
        <v>130</v>
      </c>
      <c r="L41" t="s">
        <v>18</v>
      </c>
      <c r="M41" t="s">
        <v>24</v>
      </c>
      <c r="N41">
        <v>0.20357370772176134</v>
      </c>
      <c r="O41" t="str">
        <f>IF(Posts[[#This Row],[Campaign_Name]] = "Not Available", "before campaign", "after campaign")</f>
        <v>after campaign</v>
      </c>
    </row>
    <row r="42" spans="1:15" x14ac:dyDescent="0.3">
      <c r="A42" t="s">
        <v>213</v>
      </c>
      <c r="B42" t="s">
        <v>42</v>
      </c>
      <c r="C42" s="1">
        <v>45486</v>
      </c>
      <c r="D42" t="s">
        <v>38</v>
      </c>
      <c r="E42" t="s">
        <v>45</v>
      </c>
      <c r="F42">
        <v>3929</v>
      </c>
      <c r="G42">
        <v>262</v>
      </c>
      <c r="H42">
        <v>278</v>
      </c>
      <c r="I42">
        <v>43219</v>
      </c>
      <c r="J42">
        <v>42841</v>
      </c>
      <c r="K42">
        <v>39</v>
      </c>
      <c r="L42" t="s">
        <v>18</v>
      </c>
      <c r="M42" t="s">
        <v>24</v>
      </c>
      <c r="N42">
        <v>0.10340359564080613</v>
      </c>
      <c r="O42" t="str">
        <f>IF(Posts[[#This Row],[Campaign_Name]] = "Not Available", "before campaign", "after campaign")</f>
        <v>after campaign</v>
      </c>
    </row>
    <row r="43" spans="1:15" x14ac:dyDescent="0.3">
      <c r="A43" t="s">
        <v>142</v>
      </c>
      <c r="B43" t="s">
        <v>48</v>
      </c>
      <c r="C43" s="1">
        <v>45488</v>
      </c>
      <c r="D43" t="s">
        <v>38</v>
      </c>
      <c r="E43" t="s">
        <v>58</v>
      </c>
      <c r="F43">
        <v>2291</v>
      </c>
      <c r="G43">
        <v>78</v>
      </c>
      <c r="H43">
        <v>485</v>
      </c>
      <c r="I43">
        <v>18328</v>
      </c>
      <c r="J43">
        <v>18101</v>
      </c>
      <c r="K43">
        <v>10</v>
      </c>
      <c r="L43" t="s">
        <v>18</v>
      </c>
      <c r="M43" t="s">
        <v>40</v>
      </c>
      <c r="N43">
        <v>0.15571802706241816</v>
      </c>
      <c r="O43" t="str">
        <f>IF(Posts[[#This Row],[Campaign_Name]] = "Not Available", "before campaign", "after campaign")</f>
        <v>after campaign</v>
      </c>
    </row>
    <row r="44" spans="1:15" x14ac:dyDescent="0.3">
      <c r="A44" t="s">
        <v>284</v>
      </c>
      <c r="B44" t="s">
        <v>48</v>
      </c>
      <c r="C44" s="1">
        <v>45488</v>
      </c>
      <c r="D44" t="s">
        <v>21</v>
      </c>
      <c r="E44" t="s">
        <v>117</v>
      </c>
      <c r="F44">
        <v>3663</v>
      </c>
      <c r="G44">
        <v>17</v>
      </c>
      <c r="H44">
        <v>295</v>
      </c>
      <c r="I44">
        <v>51282</v>
      </c>
      <c r="J44">
        <v>50567</v>
      </c>
      <c r="K44">
        <v>84</v>
      </c>
      <c r="L44" t="s">
        <v>18</v>
      </c>
      <c r="M44" t="s">
        <v>36</v>
      </c>
      <c r="N44">
        <v>7.7512577512577507E-2</v>
      </c>
      <c r="O44" t="str">
        <f>IF(Posts[[#This Row],[Campaign_Name]] = "Not Available", "before campaign", "after campaign")</f>
        <v>after campaign</v>
      </c>
    </row>
    <row r="45" spans="1:15" x14ac:dyDescent="0.3">
      <c r="A45" t="s">
        <v>293</v>
      </c>
      <c r="B45" t="s">
        <v>48</v>
      </c>
      <c r="C45" s="1">
        <v>45488</v>
      </c>
      <c r="D45" t="s">
        <v>34</v>
      </c>
      <c r="E45" t="s">
        <v>114</v>
      </c>
      <c r="F45">
        <v>3796</v>
      </c>
      <c r="G45">
        <v>667</v>
      </c>
      <c r="H45">
        <v>395</v>
      </c>
      <c r="I45">
        <v>64532</v>
      </c>
      <c r="J45">
        <v>63550</v>
      </c>
      <c r="K45">
        <v>292</v>
      </c>
      <c r="L45" t="s">
        <v>23</v>
      </c>
      <c r="M45" t="s">
        <v>19</v>
      </c>
      <c r="N45">
        <v>7.5280481001673588E-2</v>
      </c>
      <c r="O45" t="str">
        <f>IF(Posts[[#This Row],[Campaign_Name]] = "Not Available", "before campaign", "after campaign")</f>
        <v>before campaign</v>
      </c>
    </row>
    <row r="46" spans="1:15" x14ac:dyDescent="0.3">
      <c r="A46" t="s">
        <v>303</v>
      </c>
      <c r="B46" t="s">
        <v>26</v>
      </c>
      <c r="C46" s="1">
        <v>45489</v>
      </c>
      <c r="D46" t="s">
        <v>67</v>
      </c>
      <c r="E46" t="s">
        <v>84</v>
      </c>
      <c r="F46">
        <v>4725</v>
      </c>
      <c r="G46">
        <v>400</v>
      </c>
      <c r="H46">
        <v>362</v>
      </c>
      <c r="I46">
        <v>75600</v>
      </c>
      <c r="J46">
        <v>74927</v>
      </c>
      <c r="K46">
        <v>43</v>
      </c>
      <c r="L46" t="s">
        <v>32</v>
      </c>
      <c r="M46" t="s">
        <v>24</v>
      </c>
      <c r="N46">
        <v>7.2579365079365077E-2</v>
      </c>
      <c r="O46" t="str">
        <f>IF(Posts[[#This Row],[Campaign_Name]] = "Not Available", "before campaign", "after campaign")</f>
        <v>after campaign</v>
      </c>
    </row>
    <row r="47" spans="1:15" x14ac:dyDescent="0.3">
      <c r="A47" t="s">
        <v>115</v>
      </c>
      <c r="B47" t="s">
        <v>26</v>
      </c>
      <c r="C47" s="1">
        <v>45491</v>
      </c>
      <c r="D47" t="s">
        <v>34</v>
      </c>
      <c r="E47" t="s">
        <v>35</v>
      </c>
      <c r="F47">
        <v>2120</v>
      </c>
      <c r="G47">
        <v>38</v>
      </c>
      <c r="H47">
        <v>212</v>
      </c>
      <c r="I47">
        <v>12720</v>
      </c>
      <c r="J47">
        <v>12564</v>
      </c>
      <c r="K47">
        <v>21</v>
      </c>
      <c r="L47" t="s">
        <v>32</v>
      </c>
      <c r="M47" t="s">
        <v>24</v>
      </c>
      <c r="N47">
        <v>0.18632075471698112</v>
      </c>
      <c r="O47" t="str">
        <f>IF(Posts[[#This Row],[Campaign_Name]] = "Not Available", "before campaign", "after campaign")</f>
        <v>after campaign</v>
      </c>
    </row>
    <row r="48" spans="1:15" x14ac:dyDescent="0.3">
      <c r="A48" t="s">
        <v>165</v>
      </c>
      <c r="B48" t="s">
        <v>42</v>
      </c>
      <c r="C48" s="1">
        <v>45491</v>
      </c>
      <c r="D48" t="s">
        <v>67</v>
      </c>
      <c r="E48" t="s">
        <v>81</v>
      </c>
      <c r="F48">
        <v>4021</v>
      </c>
      <c r="G48">
        <v>794</v>
      </c>
      <c r="H48">
        <v>77</v>
      </c>
      <c r="I48">
        <v>36189</v>
      </c>
      <c r="J48">
        <v>35505</v>
      </c>
      <c r="K48">
        <v>174</v>
      </c>
      <c r="L48" t="s">
        <v>18</v>
      </c>
      <c r="M48" t="s">
        <v>19</v>
      </c>
      <c r="N48">
        <v>0.13517919809886983</v>
      </c>
      <c r="O48" t="str">
        <f>IF(Posts[[#This Row],[Campaign_Name]] = "Not Available", "before campaign", "after campaign")</f>
        <v>before campaign</v>
      </c>
    </row>
    <row r="49" spans="1:15" x14ac:dyDescent="0.3">
      <c r="A49" t="s">
        <v>248</v>
      </c>
      <c r="B49" t="s">
        <v>26</v>
      </c>
      <c r="C49" s="1">
        <v>45491</v>
      </c>
      <c r="D49" t="s">
        <v>38</v>
      </c>
      <c r="E49" t="s">
        <v>39</v>
      </c>
      <c r="F49">
        <v>827</v>
      </c>
      <c r="G49">
        <v>77</v>
      </c>
      <c r="H49">
        <v>402</v>
      </c>
      <c r="I49">
        <v>14886</v>
      </c>
      <c r="J49">
        <v>14129</v>
      </c>
      <c r="K49">
        <v>254</v>
      </c>
      <c r="L49" t="s">
        <v>18</v>
      </c>
      <c r="M49" t="s">
        <v>40</v>
      </c>
      <c r="N49">
        <v>8.7733440816874911E-2</v>
      </c>
      <c r="O49" t="str">
        <f>IF(Posts[[#This Row],[Campaign_Name]] = "Not Available", "before campaign", "after campaign")</f>
        <v>after campaign</v>
      </c>
    </row>
    <row r="50" spans="1:15" x14ac:dyDescent="0.3">
      <c r="A50" t="s">
        <v>125</v>
      </c>
      <c r="B50" t="s">
        <v>26</v>
      </c>
      <c r="C50" s="1">
        <v>45494</v>
      </c>
      <c r="D50" t="s">
        <v>67</v>
      </c>
      <c r="E50" t="s">
        <v>84</v>
      </c>
      <c r="F50">
        <v>2147</v>
      </c>
      <c r="G50">
        <v>430</v>
      </c>
      <c r="H50">
        <v>393</v>
      </c>
      <c r="I50">
        <v>17176</v>
      </c>
      <c r="J50">
        <v>16483</v>
      </c>
      <c r="K50">
        <v>170</v>
      </c>
      <c r="L50" t="s">
        <v>23</v>
      </c>
      <c r="M50" t="s">
        <v>19</v>
      </c>
      <c r="N50">
        <v>0.17291569632044715</v>
      </c>
      <c r="O50" t="str">
        <f>IF(Posts[[#This Row],[Campaign_Name]] = "Not Available", "before campaign", "after campaign")</f>
        <v>before campaign</v>
      </c>
    </row>
    <row r="51" spans="1:15" x14ac:dyDescent="0.3">
      <c r="A51" t="s">
        <v>176</v>
      </c>
      <c r="B51" t="s">
        <v>48</v>
      </c>
      <c r="C51" s="1">
        <v>45494</v>
      </c>
      <c r="D51" t="s">
        <v>21</v>
      </c>
      <c r="E51" t="s">
        <v>117</v>
      </c>
      <c r="F51">
        <v>1946</v>
      </c>
      <c r="G51">
        <v>686</v>
      </c>
      <c r="H51">
        <v>377</v>
      </c>
      <c r="I51">
        <v>23352</v>
      </c>
      <c r="J51">
        <v>22982</v>
      </c>
      <c r="K51">
        <v>213</v>
      </c>
      <c r="L51" t="s">
        <v>32</v>
      </c>
      <c r="M51" t="s">
        <v>36</v>
      </c>
      <c r="N51">
        <v>0.12885405960945528</v>
      </c>
      <c r="O51" t="str">
        <f>IF(Posts[[#This Row],[Campaign_Name]] = "Not Available", "before campaign", "after campaign")</f>
        <v>after campaign</v>
      </c>
    </row>
    <row r="52" spans="1:15" x14ac:dyDescent="0.3">
      <c r="A52" t="s">
        <v>208</v>
      </c>
      <c r="B52" t="s">
        <v>42</v>
      </c>
      <c r="C52" s="1">
        <v>45496</v>
      </c>
      <c r="D52" t="s">
        <v>16</v>
      </c>
      <c r="E52" t="s">
        <v>160</v>
      </c>
      <c r="F52">
        <v>4775</v>
      </c>
      <c r="G52">
        <v>173</v>
      </c>
      <c r="H52">
        <v>206</v>
      </c>
      <c r="I52">
        <v>47750</v>
      </c>
      <c r="J52">
        <v>47544</v>
      </c>
      <c r="K52">
        <v>187</v>
      </c>
      <c r="L52" t="s">
        <v>32</v>
      </c>
      <c r="M52" t="s">
        <v>40</v>
      </c>
      <c r="N52">
        <v>0.10793717277486911</v>
      </c>
      <c r="O52" t="str">
        <f>IF(Posts[[#This Row],[Campaign_Name]] = "Not Available", "before campaign", "after campaign")</f>
        <v>after campaign</v>
      </c>
    </row>
    <row r="53" spans="1:15" x14ac:dyDescent="0.3">
      <c r="A53" t="s">
        <v>257</v>
      </c>
      <c r="B53" t="s">
        <v>15</v>
      </c>
      <c r="C53" s="1">
        <v>45497</v>
      </c>
      <c r="D53" t="s">
        <v>38</v>
      </c>
      <c r="E53" t="s">
        <v>51</v>
      </c>
      <c r="F53">
        <v>725</v>
      </c>
      <c r="G53">
        <v>88</v>
      </c>
      <c r="H53">
        <v>428</v>
      </c>
      <c r="I53">
        <v>14500</v>
      </c>
      <c r="J53">
        <v>13637</v>
      </c>
      <c r="K53">
        <v>200</v>
      </c>
      <c r="L53" t="s">
        <v>32</v>
      </c>
      <c r="M53" t="s">
        <v>36</v>
      </c>
      <c r="N53">
        <v>8.558620689655172E-2</v>
      </c>
      <c r="O53" t="str">
        <f>IF(Posts[[#This Row],[Campaign_Name]] = "Not Available", "before campaign", "after campaign")</f>
        <v>after campaign</v>
      </c>
    </row>
    <row r="54" spans="1:15" x14ac:dyDescent="0.3">
      <c r="A54" t="s">
        <v>64</v>
      </c>
      <c r="B54" t="s">
        <v>26</v>
      </c>
      <c r="C54" s="1">
        <v>45499</v>
      </c>
      <c r="D54" t="s">
        <v>34</v>
      </c>
      <c r="E54" t="s">
        <v>35</v>
      </c>
      <c r="F54">
        <v>432</v>
      </c>
      <c r="G54">
        <v>171</v>
      </c>
      <c r="H54">
        <v>280</v>
      </c>
      <c r="I54">
        <v>3024</v>
      </c>
      <c r="J54">
        <v>2285</v>
      </c>
      <c r="K54">
        <v>184</v>
      </c>
      <c r="L54" t="s">
        <v>18</v>
      </c>
      <c r="M54" t="s">
        <v>46</v>
      </c>
      <c r="N54">
        <v>0.29199735449735448</v>
      </c>
      <c r="O54" t="str">
        <f>IF(Posts[[#This Row],[Campaign_Name]] = "Not Available", "before campaign", "after campaign")</f>
        <v>after campaign</v>
      </c>
    </row>
    <row r="55" spans="1:15" x14ac:dyDescent="0.3">
      <c r="A55" t="s">
        <v>206</v>
      </c>
      <c r="B55" t="s">
        <v>15</v>
      </c>
      <c r="C55" s="1">
        <v>45499</v>
      </c>
      <c r="D55" t="s">
        <v>38</v>
      </c>
      <c r="E55" t="s">
        <v>51</v>
      </c>
      <c r="F55">
        <v>3559</v>
      </c>
      <c r="G55">
        <v>59</v>
      </c>
      <c r="H55">
        <v>289</v>
      </c>
      <c r="I55">
        <v>35590</v>
      </c>
      <c r="J55">
        <v>35105</v>
      </c>
      <c r="K55">
        <v>122</v>
      </c>
      <c r="L55" t="s">
        <v>18</v>
      </c>
      <c r="M55" t="s">
        <v>46</v>
      </c>
      <c r="N55">
        <v>0.10977802753582468</v>
      </c>
      <c r="O55" t="str">
        <f>IF(Posts[[#This Row],[Campaign_Name]] = "Not Available", "before campaign", "after campaign")</f>
        <v>after campaign</v>
      </c>
    </row>
    <row r="56" spans="1:15" x14ac:dyDescent="0.3">
      <c r="A56" t="s">
        <v>162</v>
      </c>
      <c r="B56" t="s">
        <v>26</v>
      </c>
      <c r="C56" s="1">
        <v>45501</v>
      </c>
      <c r="D56" t="s">
        <v>38</v>
      </c>
      <c r="E56" t="s">
        <v>39</v>
      </c>
      <c r="F56">
        <v>3215</v>
      </c>
      <c r="G56">
        <v>960</v>
      </c>
      <c r="H56">
        <v>202</v>
      </c>
      <c r="I56">
        <v>32150</v>
      </c>
      <c r="J56">
        <v>31404</v>
      </c>
      <c r="K56">
        <v>251</v>
      </c>
      <c r="L56" t="s">
        <v>18</v>
      </c>
      <c r="M56" t="s">
        <v>46</v>
      </c>
      <c r="N56">
        <v>0.13614307931570763</v>
      </c>
      <c r="O56" t="str">
        <f>IF(Posts[[#This Row],[Campaign_Name]] = "Not Available", "before campaign", "after campaign")</f>
        <v>after campaign</v>
      </c>
    </row>
    <row r="57" spans="1:15" x14ac:dyDescent="0.3">
      <c r="A57" t="s">
        <v>56</v>
      </c>
      <c r="B57" t="s">
        <v>15</v>
      </c>
      <c r="C57" s="1">
        <v>45502</v>
      </c>
      <c r="D57" t="s">
        <v>16</v>
      </c>
      <c r="E57" t="s">
        <v>17</v>
      </c>
      <c r="F57">
        <v>498</v>
      </c>
      <c r="G57">
        <v>701</v>
      </c>
      <c r="H57">
        <v>412</v>
      </c>
      <c r="I57">
        <v>4980</v>
      </c>
      <c r="J57">
        <v>4185</v>
      </c>
      <c r="K57">
        <v>185</v>
      </c>
      <c r="L57" t="s">
        <v>32</v>
      </c>
      <c r="M57" t="s">
        <v>19</v>
      </c>
      <c r="N57">
        <v>0.32349397590361445</v>
      </c>
      <c r="O57" t="str">
        <f>IF(Posts[[#This Row],[Campaign_Name]] = "Not Available", "before campaign", "after campaign")</f>
        <v>before campaign</v>
      </c>
    </row>
    <row r="58" spans="1:15" x14ac:dyDescent="0.3">
      <c r="A58" t="s">
        <v>186</v>
      </c>
      <c r="B58" t="s">
        <v>15</v>
      </c>
      <c r="C58" s="1">
        <v>45502</v>
      </c>
      <c r="D58" t="s">
        <v>21</v>
      </c>
      <c r="E58" t="s">
        <v>22</v>
      </c>
      <c r="F58">
        <v>3523</v>
      </c>
      <c r="G58">
        <v>753</v>
      </c>
      <c r="H58">
        <v>482</v>
      </c>
      <c r="I58">
        <v>38753</v>
      </c>
      <c r="J58">
        <v>38579</v>
      </c>
      <c r="K58">
        <v>270</v>
      </c>
      <c r="L58" t="s">
        <v>18</v>
      </c>
      <c r="M58" t="s">
        <v>40</v>
      </c>
      <c r="N58">
        <v>0.12277759141227776</v>
      </c>
      <c r="O58" t="str">
        <f>IF(Posts[[#This Row],[Campaign_Name]] = "Not Available", "before campaign", "after campaign")</f>
        <v>after campaign</v>
      </c>
    </row>
    <row r="59" spans="1:15" x14ac:dyDescent="0.3">
      <c r="A59" t="s">
        <v>345</v>
      </c>
      <c r="B59" t="s">
        <v>42</v>
      </c>
      <c r="C59" s="1">
        <v>45502</v>
      </c>
      <c r="D59" t="s">
        <v>16</v>
      </c>
      <c r="E59" t="s">
        <v>160</v>
      </c>
      <c r="F59">
        <v>1509</v>
      </c>
      <c r="G59">
        <v>88</v>
      </c>
      <c r="H59">
        <v>163</v>
      </c>
      <c r="I59">
        <v>30180</v>
      </c>
      <c r="J59">
        <v>29689</v>
      </c>
      <c r="K59">
        <v>119</v>
      </c>
      <c r="L59" t="s">
        <v>18</v>
      </c>
      <c r="M59" t="s">
        <v>40</v>
      </c>
      <c r="N59">
        <v>5.8316766070245198E-2</v>
      </c>
      <c r="O59" t="str">
        <f>IF(Posts[[#This Row],[Campaign_Name]] = "Not Available", "before campaign", "after campaign")</f>
        <v>after campaign</v>
      </c>
    </row>
    <row r="60" spans="1:15" x14ac:dyDescent="0.3">
      <c r="A60" t="s">
        <v>98</v>
      </c>
      <c r="B60" t="s">
        <v>48</v>
      </c>
      <c r="C60" s="1">
        <v>45504</v>
      </c>
      <c r="D60" t="s">
        <v>29</v>
      </c>
      <c r="E60" t="s">
        <v>49</v>
      </c>
      <c r="F60">
        <v>3008</v>
      </c>
      <c r="G60">
        <v>94</v>
      </c>
      <c r="H60">
        <v>37</v>
      </c>
      <c r="I60">
        <v>15040</v>
      </c>
      <c r="J60">
        <v>14639</v>
      </c>
      <c r="K60">
        <v>277</v>
      </c>
      <c r="L60" t="s">
        <v>32</v>
      </c>
      <c r="M60" t="s">
        <v>19</v>
      </c>
      <c r="N60">
        <v>0.20871010638297871</v>
      </c>
      <c r="O60" t="str">
        <f>IF(Posts[[#This Row],[Campaign_Name]] = "Not Available", "before campaign", "after campaign")</f>
        <v>before campaign</v>
      </c>
    </row>
    <row r="61" spans="1:15" x14ac:dyDescent="0.3">
      <c r="A61" t="s">
        <v>112</v>
      </c>
      <c r="B61" t="s">
        <v>26</v>
      </c>
      <c r="C61" s="1">
        <v>45504</v>
      </c>
      <c r="D61" t="s">
        <v>34</v>
      </c>
      <c r="E61" t="s">
        <v>35</v>
      </c>
      <c r="F61">
        <v>2278</v>
      </c>
      <c r="G61">
        <v>10</v>
      </c>
      <c r="H61">
        <v>321</v>
      </c>
      <c r="I61">
        <v>13668</v>
      </c>
      <c r="J61">
        <v>12676</v>
      </c>
      <c r="K61">
        <v>275</v>
      </c>
      <c r="L61" t="s">
        <v>18</v>
      </c>
      <c r="M61" t="s">
        <v>46</v>
      </c>
      <c r="N61">
        <v>0.19088381621305239</v>
      </c>
      <c r="O61" t="str">
        <f>IF(Posts[[#This Row],[Campaign_Name]] = "Not Available", "before campaign", "after campaign")</f>
        <v>after campaign</v>
      </c>
    </row>
    <row r="62" spans="1:15" x14ac:dyDescent="0.3">
      <c r="A62" t="s">
        <v>216</v>
      </c>
      <c r="B62" t="s">
        <v>48</v>
      </c>
      <c r="C62" s="1">
        <v>45504</v>
      </c>
      <c r="D62" t="s">
        <v>38</v>
      </c>
      <c r="E62" t="s">
        <v>58</v>
      </c>
      <c r="F62">
        <v>4689</v>
      </c>
      <c r="G62">
        <v>134</v>
      </c>
      <c r="H62">
        <v>403</v>
      </c>
      <c r="I62">
        <v>51579</v>
      </c>
      <c r="J62">
        <v>50924</v>
      </c>
      <c r="K62">
        <v>173</v>
      </c>
      <c r="L62" t="s">
        <v>23</v>
      </c>
      <c r="M62" t="s">
        <v>24</v>
      </c>
      <c r="N62">
        <v>0.10132030477519921</v>
      </c>
      <c r="O62" t="str">
        <f>IF(Posts[[#This Row],[Campaign_Name]] = "Not Available", "before campaign", "after campaign")</f>
        <v>after campaign</v>
      </c>
    </row>
    <row r="63" spans="1:15" x14ac:dyDescent="0.3">
      <c r="A63" t="s">
        <v>355</v>
      </c>
      <c r="B63" t="s">
        <v>26</v>
      </c>
      <c r="C63" s="1">
        <v>45504</v>
      </c>
      <c r="D63" t="s">
        <v>34</v>
      </c>
      <c r="E63" t="s">
        <v>35</v>
      </c>
      <c r="F63">
        <v>4507</v>
      </c>
      <c r="G63">
        <v>217</v>
      </c>
      <c r="H63">
        <v>13</v>
      </c>
      <c r="I63">
        <v>90140</v>
      </c>
      <c r="J63">
        <v>89591</v>
      </c>
      <c r="K63">
        <v>125</v>
      </c>
      <c r="L63" t="s">
        <v>32</v>
      </c>
      <c r="M63" t="s">
        <v>36</v>
      </c>
      <c r="N63">
        <v>5.2551586421122697E-2</v>
      </c>
      <c r="O63" t="str">
        <f>IF(Posts[[#This Row],[Campaign_Name]] = "Not Available", "before campaign", "after campaign")</f>
        <v>after campaign</v>
      </c>
    </row>
    <row r="64" spans="1:15" x14ac:dyDescent="0.3">
      <c r="A64" t="s">
        <v>188</v>
      </c>
      <c r="B64" t="s">
        <v>15</v>
      </c>
      <c r="C64" s="1">
        <v>45505</v>
      </c>
      <c r="D64" t="s">
        <v>21</v>
      </c>
      <c r="E64" t="s">
        <v>22</v>
      </c>
      <c r="F64">
        <v>1674</v>
      </c>
      <c r="G64">
        <v>929</v>
      </c>
      <c r="H64">
        <v>37</v>
      </c>
      <c r="I64">
        <v>21762</v>
      </c>
      <c r="J64">
        <v>20998</v>
      </c>
      <c r="K64">
        <v>255</v>
      </c>
      <c r="L64" t="s">
        <v>23</v>
      </c>
      <c r="M64" t="s">
        <v>24</v>
      </c>
      <c r="N64">
        <v>0.12131237937689551</v>
      </c>
      <c r="O64" t="str">
        <f>IF(Posts[[#This Row],[Campaign_Name]] = "Not Available", "before campaign", "after campaign")</f>
        <v>after campaign</v>
      </c>
    </row>
    <row r="65" spans="1:15" x14ac:dyDescent="0.3">
      <c r="A65" t="s">
        <v>250</v>
      </c>
      <c r="B65" t="s">
        <v>26</v>
      </c>
      <c r="C65" s="1">
        <v>45507</v>
      </c>
      <c r="D65" t="s">
        <v>21</v>
      </c>
      <c r="E65" t="s">
        <v>54</v>
      </c>
      <c r="F65">
        <v>3791</v>
      </c>
      <c r="G65">
        <v>593</v>
      </c>
      <c r="H65">
        <v>228</v>
      </c>
      <c r="I65">
        <v>53074</v>
      </c>
      <c r="J65">
        <v>52613</v>
      </c>
      <c r="K65">
        <v>205</v>
      </c>
      <c r="L65" t="s">
        <v>18</v>
      </c>
      <c r="M65" t="s">
        <v>19</v>
      </c>
      <c r="N65">
        <v>8.6897539284772202E-2</v>
      </c>
      <c r="O65" t="str">
        <f>IF(Posts[[#This Row],[Campaign_Name]] = "Not Available", "before campaign", "after campaign")</f>
        <v>before campaign</v>
      </c>
    </row>
    <row r="66" spans="1:15" x14ac:dyDescent="0.3">
      <c r="A66" t="s">
        <v>104</v>
      </c>
      <c r="B66" t="s">
        <v>15</v>
      </c>
      <c r="C66" s="1">
        <v>45509</v>
      </c>
      <c r="D66" t="s">
        <v>16</v>
      </c>
      <c r="E66" t="s">
        <v>17</v>
      </c>
      <c r="F66">
        <v>3601</v>
      </c>
      <c r="G66">
        <v>695</v>
      </c>
      <c r="H66">
        <v>75</v>
      </c>
      <c r="I66">
        <v>21606</v>
      </c>
      <c r="J66">
        <v>21454</v>
      </c>
      <c r="K66">
        <v>172</v>
      </c>
      <c r="L66" t="s">
        <v>18</v>
      </c>
      <c r="M66" t="s">
        <v>40</v>
      </c>
      <c r="N66">
        <v>0.2023049153013052</v>
      </c>
      <c r="O66" t="str">
        <f>IF(Posts[[#This Row],[Campaign_Name]] = "Not Available", "before campaign", "after campaign")</f>
        <v>after campaign</v>
      </c>
    </row>
    <row r="67" spans="1:15" x14ac:dyDescent="0.3">
      <c r="A67" t="s">
        <v>131</v>
      </c>
      <c r="B67" t="s">
        <v>48</v>
      </c>
      <c r="C67" s="1">
        <v>45509</v>
      </c>
      <c r="D67" t="s">
        <v>21</v>
      </c>
      <c r="E67" t="s">
        <v>117</v>
      </c>
      <c r="F67">
        <v>1741</v>
      </c>
      <c r="G67">
        <v>831</v>
      </c>
      <c r="H67">
        <v>345</v>
      </c>
      <c r="I67">
        <v>17410</v>
      </c>
      <c r="J67">
        <v>16844</v>
      </c>
      <c r="K67">
        <v>58</v>
      </c>
      <c r="L67" t="s">
        <v>18</v>
      </c>
      <c r="M67" t="s">
        <v>36</v>
      </c>
      <c r="N67">
        <v>0.16754738655944859</v>
      </c>
      <c r="O67" t="str">
        <f>IF(Posts[[#This Row],[Campaign_Name]] = "Not Available", "before campaign", "after campaign")</f>
        <v>after campaign</v>
      </c>
    </row>
    <row r="68" spans="1:15" x14ac:dyDescent="0.3">
      <c r="A68" t="s">
        <v>78</v>
      </c>
      <c r="B68" t="s">
        <v>15</v>
      </c>
      <c r="C68" s="1">
        <v>45511</v>
      </c>
      <c r="D68" t="s">
        <v>34</v>
      </c>
      <c r="E68" t="s">
        <v>60</v>
      </c>
      <c r="F68">
        <v>1741</v>
      </c>
      <c r="G68">
        <v>164</v>
      </c>
      <c r="H68">
        <v>318</v>
      </c>
      <c r="I68">
        <v>8705</v>
      </c>
      <c r="J68">
        <v>8272</v>
      </c>
      <c r="K68">
        <v>121</v>
      </c>
      <c r="L68" t="s">
        <v>23</v>
      </c>
      <c r="M68" t="s">
        <v>19</v>
      </c>
      <c r="N68">
        <v>0.25537047673750718</v>
      </c>
      <c r="O68" t="str">
        <f>IF(Posts[[#This Row],[Campaign_Name]] = "Not Available", "before campaign", "after campaign")</f>
        <v>before campaign</v>
      </c>
    </row>
    <row r="69" spans="1:15" x14ac:dyDescent="0.3">
      <c r="A69" t="s">
        <v>132</v>
      </c>
      <c r="B69" t="s">
        <v>26</v>
      </c>
      <c r="C69" s="1">
        <v>45512</v>
      </c>
      <c r="D69" t="s">
        <v>16</v>
      </c>
      <c r="E69" t="s">
        <v>27</v>
      </c>
      <c r="F69">
        <v>3649</v>
      </c>
      <c r="G69">
        <v>215</v>
      </c>
      <c r="H69">
        <v>413</v>
      </c>
      <c r="I69">
        <v>25543</v>
      </c>
      <c r="J69">
        <v>24963</v>
      </c>
      <c r="K69">
        <v>167</v>
      </c>
      <c r="L69" t="s">
        <v>32</v>
      </c>
      <c r="M69" t="s">
        <v>36</v>
      </c>
      <c r="N69">
        <v>0.16744313510550835</v>
      </c>
      <c r="O69" t="str">
        <f>IF(Posts[[#This Row],[Campaign_Name]] = "Not Available", "before campaign", "after campaign")</f>
        <v>after campaign</v>
      </c>
    </row>
    <row r="70" spans="1:15" x14ac:dyDescent="0.3">
      <c r="A70" t="s">
        <v>201</v>
      </c>
      <c r="B70" t="s">
        <v>15</v>
      </c>
      <c r="C70" s="1">
        <v>45515</v>
      </c>
      <c r="D70" t="s">
        <v>16</v>
      </c>
      <c r="E70" t="s">
        <v>17</v>
      </c>
      <c r="F70">
        <v>1762</v>
      </c>
      <c r="G70">
        <v>405</v>
      </c>
      <c r="H70">
        <v>423</v>
      </c>
      <c r="I70">
        <v>22906</v>
      </c>
      <c r="J70">
        <v>21925</v>
      </c>
      <c r="K70">
        <v>25</v>
      </c>
      <c r="L70" t="s">
        <v>23</v>
      </c>
      <c r="M70" t="s">
        <v>46</v>
      </c>
      <c r="N70">
        <v>0.11307081114118571</v>
      </c>
      <c r="O70" t="str">
        <f>IF(Posts[[#This Row],[Campaign_Name]] = "Not Available", "before campaign", "after campaign")</f>
        <v>after campaign</v>
      </c>
    </row>
    <row r="71" spans="1:15" x14ac:dyDescent="0.3">
      <c r="A71" t="s">
        <v>147</v>
      </c>
      <c r="B71" t="s">
        <v>15</v>
      </c>
      <c r="C71" s="1">
        <v>45516</v>
      </c>
      <c r="D71" t="s">
        <v>16</v>
      </c>
      <c r="E71" t="s">
        <v>17</v>
      </c>
      <c r="F71">
        <v>2404</v>
      </c>
      <c r="G71">
        <v>363</v>
      </c>
      <c r="H71">
        <v>138</v>
      </c>
      <c r="I71">
        <v>19232</v>
      </c>
      <c r="J71">
        <v>18636</v>
      </c>
      <c r="K71">
        <v>128</v>
      </c>
      <c r="L71" t="s">
        <v>18</v>
      </c>
      <c r="M71" t="s">
        <v>24</v>
      </c>
      <c r="N71">
        <v>0.15105033277870217</v>
      </c>
      <c r="O71" t="str">
        <f>IF(Posts[[#This Row],[Campaign_Name]] = "Not Available", "before campaign", "after campaign")</f>
        <v>after campaign</v>
      </c>
    </row>
    <row r="72" spans="1:15" x14ac:dyDescent="0.3">
      <c r="A72" t="s">
        <v>351</v>
      </c>
      <c r="B72" t="s">
        <v>15</v>
      </c>
      <c r="C72" s="1">
        <v>45516</v>
      </c>
      <c r="D72" t="s">
        <v>34</v>
      </c>
      <c r="E72" t="s">
        <v>60</v>
      </c>
      <c r="F72">
        <v>1878</v>
      </c>
      <c r="G72">
        <v>62</v>
      </c>
      <c r="H72">
        <v>179</v>
      </c>
      <c r="I72">
        <v>37560</v>
      </c>
      <c r="J72">
        <v>36874</v>
      </c>
      <c r="K72">
        <v>142</v>
      </c>
      <c r="L72" t="s">
        <v>23</v>
      </c>
      <c r="M72" t="s">
        <v>24</v>
      </c>
      <c r="N72">
        <v>5.6416400425985093E-2</v>
      </c>
      <c r="O72" t="str">
        <f>IF(Posts[[#This Row],[Campaign_Name]] = "Not Available", "before campaign", "after campaign")</f>
        <v>after campaign</v>
      </c>
    </row>
    <row r="73" spans="1:15" x14ac:dyDescent="0.3">
      <c r="A73" t="s">
        <v>249</v>
      </c>
      <c r="B73" t="s">
        <v>15</v>
      </c>
      <c r="C73" s="1">
        <v>45517</v>
      </c>
      <c r="D73" t="s">
        <v>38</v>
      </c>
      <c r="E73" t="s">
        <v>51</v>
      </c>
      <c r="F73">
        <v>4739</v>
      </c>
      <c r="G73">
        <v>527</v>
      </c>
      <c r="H73">
        <v>135</v>
      </c>
      <c r="I73">
        <v>61607</v>
      </c>
      <c r="J73">
        <v>61333</v>
      </c>
      <c r="K73">
        <v>36</v>
      </c>
      <c r="L73" t="s">
        <v>23</v>
      </c>
      <c r="M73" t="s">
        <v>40</v>
      </c>
      <c r="N73">
        <v>8.7668609086629767E-2</v>
      </c>
      <c r="O73" t="str">
        <f>IF(Posts[[#This Row],[Campaign_Name]] = "Not Available", "before campaign", "after campaign")</f>
        <v>after campaign</v>
      </c>
    </row>
    <row r="74" spans="1:15" x14ac:dyDescent="0.3">
      <c r="A74" t="s">
        <v>302</v>
      </c>
      <c r="B74" t="s">
        <v>48</v>
      </c>
      <c r="C74" s="1">
        <v>45518</v>
      </c>
      <c r="D74" t="s">
        <v>34</v>
      </c>
      <c r="E74" t="s">
        <v>114</v>
      </c>
      <c r="F74">
        <v>3073</v>
      </c>
      <c r="G74">
        <v>553</v>
      </c>
      <c r="H74">
        <v>174</v>
      </c>
      <c r="I74">
        <v>52241</v>
      </c>
      <c r="J74">
        <v>51605</v>
      </c>
      <c r="K74">
        <v>246</v>
      </c>
      <c r="L74" t="s">
        <v>18</v>
      </c>
      <c r="M74" t="s">
        <v>36</v>
      </c>
      <c r="N74">
        <v>7.2739802071170159E-2</v>
      </c>
      <c r="O74" t="str">
        <f>IF(Posts[[#This Row],[Campaign_Name]] = "Not Available", "before campaign", "after campaign")</f>
        <v>after campaign</v>
      </c>
    </row>
    <row r="75" spans="1:15" x14ac:dyDescent="0.3">
      <c r="A75" t="s">
        <v>62</v>
      </c>
      <c r="B75" t="s">
        <v>15</v>
      </c>
      <c r="C75" s="1">
        <v>45519</v>
      </c>
      <c r="D75" t="s">
        <v>21</v>
      </c>
      <c r="E75" t="s">
        <v>22</v>
      </c>
      <c r="F75">
        <v>1164</v>
      </c>
      <c r="G75">
        <v>616</v>
      </c>
      <c r="H75">
        <v>324</v>
      </c>
      <c r="I75">
        <v>6984</v>
      </c>
      <c r="J75">
        <v>6636</v>
      </c>
      <c r="K75">
        <v>82</v>
      </c>
      <c r="L75" t="s">
        <v>18</v>
      </c>
      <c r="M75" t="s">
        <v>46</v>
      </c>
      <c r="N75">
        <v>0.30126002290950743</v>
      </c>
      <c r="O75" t="str">
        <f>IF(Posts[[#This Row],[Campaign_Name]] = "Not Available", "before campaign", "after campaign")</f>
        <v>after campaign</v>
      </c>
    </row>
    <row r="76" spans="1:15" x14ac:dyDescent="0.3">
      <c r="A76" t="s">
        <v>161</v>
      </c>
      <c r="B76" t="s">
        <v>15</v>
      </c>
      <c r="C76" s="1">
        <v>45519</v>
      </c>
      <c r="D76" t="s">
        <v>34</v>
      </c>
      <c r="E76" t="s">
        <v>60</v>
      </c>
      <c r="F76">
        <v>914</v>
      </c>
      <c r="G76">
        <v>464</v>
      </c>
      <c r="H76">
        <v>246</v>
      </c>
      <c r="I76">
        <v>11882</v>
      </c>
      <c r="J76">
        <v>11500</v>
      </c>
      <c r="K76">
        <v>282</v>
      </c>
      <c r="L76" t="s">
        <v>32</v>
      </c>
      <c r="M76" t="s">
        <v>24</v>
      </c>
      <c r="N76">
        <v>0.13667732704931829</v>
      </c>
      <c r="O76" t="str">
        <f>IF(Posts[[#This Row],[Campaign_Name]] = "Not Available", "before campaign", "after campaign")</f>
        <v>after campaign</v>
      </c>
    </row>
    <row r="77" spans="1:15" x14ac:dyDescent="0.3">
      <c r="A77" t="s">
        <v>272</v>
      </c>
      <c r="B77" t="s">
        <v>48</v>
      </c>
      <c r="C77" s="1">
        <v>45521</v>
      </c>
      <c r="D77" t="s">
        <v>38</v>
      </c>
      <c r="E77" t="s">
        <v>58</v>
      </c>
      <c r="F77">
        <v>2878</v>
      </c>
      <c r="G77">
        <v>248</v>
      </c>
      <c r="H77">
        <v>416</v>
      </c>
      <c r="I77">
        <v>43170</v>
      </c>
      <c r="J77">
        <v>42667</v>
      </c>
      <c r="K77">
        <v>75</v>
      </c>
      <c r="L77" t="s">
        <v>32</v>
      </c>
      <c r="M77" t="s">
        <v>36</v>
      </c>
      <c r="N77">
        <v>8.2047718322909427E-2</v>
      </c>
      <c r="O77" t="str">
        <f>IF(Posts[[#This Row],[Campaign_Name]] = "Not Available", "before campaign", "after campaign")</f>
        <v>after campaign</v>
      </c>
    </row>
    <row r="78" spans="1:15" x14ac:dyDescent="0.3">
      <c r="A78" t="s">
        <v>172</v>
      </c>
      <c r="B78" t="s">
        <v>48</v>
      </c>
      <c r="C78" s="1">
        <v>45523</v>
      </c>
      <c r="D78" t="s">
        <v>67</v>
      </c>
      <c r="E78" t="s">
        <v>76</v>
      </c>
      <c r="F78">
        <v>1257</v>
      </c>
      <c r="G78">
        <v>19</v>
      </c>
      <c r="H78">
        <v>351</v>
      </c>
      <c r="I78">
        <v>12570</v>
      </c>
      <c r="J78">
        <v>11660</v>
      </c>
      <c r="K78">
        <v>194</v>
      </c>
      <c r="L78" t="s">
        <v>32</v>
      </c>
      <c r="M78" t="s">
        <v>40</v>
      </c>
      <c r="N78">
        <v>0.12943516308671441</v>
      </c>
      <c r="O78" t="str">
        <f>IF(Posts[[#This Row],[Campaign_Name]] = "Not Available", "before campaign", "after campaign")</f>
        <v>after campaign</v>
      </c>
    </row>
    <row r="79" spans="1:15" x14ac:dyDescent="0.3">
      <c r="A79" t="s">
        <v>215</v>
      </c>
      <c r="B79" t="s">
        <v>15</v>
      </c>
      <c r="C79" s="1">
        <v>45523</v>
      </c>
      <c r="D79" t="s">
        <v>21</v>
      </c>
      <c r="E79" t="s">
        <v>22</v>
      </c>
      <c r="F79">
        <v>3000</v>
      </c>
      <c r="G79">
        <v>382</v>
      </c>
      <c r="H79">
        <v>325</v>
      </c>
      <c r="I79">
        <v>36000</v>
      </c>
      <c r="J79">
        <v>35819</v>
      </c>
      <c r="K79">
        <v>19</v>
      </c>
      <c r="L79" t="s">
        <v>32</v>
      </c>
      <c r="M79" t="s">
        <v>46</v>
      </c>
      <c r="N79">
        <v>0.10297222222222223</v>
      </c>
      <c r="O79" t="str">
        <f>IF(Posts[[#This Row],[Campaign_Name]] = "Not Available", "before campaign", "after campaign")</f>
        <v>after campaign</v>
      </c>
    </row>
    <row r="80" spans="1:15" x14ac:dyDescent="0.3">
      <c r="A80" t="s">
        <v>70</v>
      </c>
      <c r="B80" t="s">
        <v>15</v>
      </c>
      <c r="C80" s="1">
        <v>45524</v>
      </c>
      <c r="D80" t="s">
        <v>21</v>
      </c>
      <c r="E80" t="s">
        <v>22</v>
      </c>
      <c r="F80">
        <v>2603</v>
      </c>
      <c r="G80">
        <v>690</v>
      </c>
      <c r="H80">
        <v>205</v>
      </c>
      <c r="I80">
        <v>13015</v>
      </c>
      <c r="J80">
        <v>12130</v>
      </c>
      <c r="K80">
        <v>20</v>
      </c>
      <c r="L80" t="s">
        <v>32</v>
      </c>
      <c r="M80" t="s">
        <v>40</v>
      </c>
      <c r="N80">
        <v>0.26876680752977333</v>
      </c>
      <c r="O80" t="str">
        <f>IF(Posts[[#This Row],[Campaign_Name]] = "Not Available", "before campaign", "after campaign")</f>
        <v>after campaign</v>
      </c>
    </row>
    <row r="81" spans="1:15" x14ac:dyDescent="0.3">
      <c r="A81" t="s">
        <v>178</v>
      </c>
      <c r="B81" t="s">
        <v>48</v>
      </c>
      <c r="C81" s="1">
        <v>45525</v>
      </c>
      <c r="D81" t="s">
        <v>38</v>
      </c>
      <c r="E81" t="s">
        <v>58</v>
      </c>
      <c r="F81">
        <v>1407</v>
      </c>
      <c r="G81">
        <v>400</v>
      </c>
      <c r="H81">
        <v>351</v>
      </c>
      <c r="I81">
        <v>16884</v>
      </c>
      <c r="J81">
        <v>15954</v>
      </c>
      <c r="K81">
        <v>113</v>
      </c>
      <c r="L81" t="s">
        <v>23</v>
      </c>
      <c r="M81" t="s">
        <v>46</v>
      </c>
      <c r="N81">
        <v>0.12781331438047855</v>
      </c>
      <c r="O81" t="str">
        <f>IF(Posts[[#This Row],[Campaign_Name]] = "Not Available", "before campaign", "after campaign")</f>
        <v>after campaign</v>
      </c>
    </row>
    <row r="82" spans="1:15" x14ac:dyDescent="0.3">
      <c r="A82" t="s">
        <v>333</v>
      </c>
      <c r="B82" t="s">
        <v>42</v>
      </c>
      <c r="C82" s="1">
        <v>45526</v>
      </c>
      <c r="D82" t="s">
        <v>34</v>
      </c>
      <c r="E82" t="s">
        <v>43</v>
      </c>
      <c r="F82">
        <v>4295</v>
      </c>
      <c r="G82">
        <v>853</v>
      </c>
      <c r="H82">
        <v>325</v>
      </c>
      <c r="I82">
        <v>85900</v>
      </c>
      <c r="J82">
        <v>85788</v>
      </c>
      <c r="K82">
        <v>290</v>
      </c>
      <c r="L82" t="s">
        <v>23</v>
      </c>
      <c r="M82" t="s">
        <v>24</v>
      </c>
      <c r="N82">
        <v>6.3713620488940623E-2</v>
      </c>
      <c r="O82" t="str">
        <f>IF(Posts[[#This Row],[Campaign_Name]] = "Not Available", "before campaign", "after campaign")</f>
        <v>after campaign</v>
      </c>
    </row>
    <row r="83" spans="1:15" x14ac:dyDescent="0.3">
      <c r="A83" t="s">
        <v>238</v>
      </c>
      <c r="B83" t="s">
        <v>26</v>
      </c>
      <c r="C83" s="1">
        <v>45528</v>
      </c>
      <c r="D83" t="s">
        <v>29</v>
      </c>
      <c r="E83" t="s">
        <v>100</v>
      </c>
      <c r="F83">
        <v>1082</v>
      </c>
      <c r="G83">
        <v>209</v>
      </c>
      <c r="H83">
        <v>484</v>
      </c>
      <c r="I83">
        <v>19476</v>
      </c>
      <c r="J83">
        <v>18654</v>
      </c>
      <c r="K83">
        <v>20</v>
      </c>
      <c r="L83" t="s">
        <v>23</v>
      </c>
      <c r="M83" t="s">
        <v>19</v>
      </c>
      <c r="N83">
        <v>9.1137810638734856E-2</v>
      </c>
      <c r="O83" t="str">
        <f>IF(Posts[[#This Row],[Campaign_Name]] = "Not Available", "before campaign", "after campaign")</f>
        <v>before campaign</v>
      </c>
    </row>
    <row r="84" spans="1:15" x14ac:dyDescent="0.3">
      <c r="A84" t="s">
        <v>260</v>
      </c>
      <c r="B84" t="s">
        <v>48</v>
      </c>
      <c r="C84" s="1">
        <v>45528</v>
      </c>
      <c r="D84" t="s">
        <v>34</v>
      </c>
      <c r="E84" t="s">
        <v>114</v>
      </c>
      <c r="F84">
        <v>4292</v>
      </c>
      <c r="G84">
        <v>51</v>
      </c>
      <c r="H84">
        <v>392</v>
      </c>
      <c r="I84">
        <v>55796</v>
      </c>
      <c r="J84">
        <v>54826</v>
      </c>
      <c r="K84">
        <v>264</v>
      </c>
      <c r="L84" t="s">
        <v>18</v>
      </c>
      <c r="M84" t="s">
        <v>36</v>
      </c>
      <c r="N84">
        <v>8.4862714173059003E-2</v>
      </c>
      <c r="O84" t="str">
        <f>IF(Posts[[#This Row],[Campaign_Name]] = "Not Available", "before campaign", "after campaign")</f>
        <v>after campaign</v>
      </c>
    </row>
    <row r="85" spans="1:15" x14ac:dyDescent="0.3">
      <c r="A85" t="s">
        <v>157</v>
      </c>
      <c r="B85" t="s">
        <v>48</v>
      </c>
      <c r="C85" s="1">
        <v>45530</v>
      </c>
      <c r="D85" t="s">
        <v>38</v>
      </c>
      <c r="E85" t="s">
        <v>58</v>
      </c>
      <c r="F85">
        <v>2581</v>
      </c>
      <c r="G85">
        <v>517</v>
      </c>
      <c r="H85">
        <v>117</v>
      </c>
      <c r="I85">
        <v>23229</v>
      </c>
      <c r="J85">
        <v>22331</v>
      </c>
      <c r="K85">
        <v>70</v>
      </c>
      <c r="L85" t="s">
        <v>32</v>
      </c>
      <c r="M85" t="s">
        <v>36</v>
      </c>
      <c r="N85">
        <v>0.13840458048129492</v>
      </c>
      <c r="O85" t="str">
        <f>IF(Posts[[#This Row],[Campaign_Name]] = "Not Available", "before campaign", "after campaign")</f>
        <v>after campaign</v>
      </c>
    </row>
    <row r="86" spans="1:15" x14ac:dyDescent="0.3">
      <c r="A86" t="s">
        <v>254</v>
      </c>
      <c r="B86" t="s">
        <v>26</v>
      </c>
      <c r="C86" s="1">
        <v>45530</v>
      </c>
      <c r="D86" t="s">
        <v>34</v>
      </c>
      <c r="E86" t="s">
        <v>35</v>
      </c>
      <c r="F86">
        <v>929</v>
      </c>
      <c r="G86">
        <v>192</v>
      </c>
      <c r="H86">
        <v>322</v>
      </c>
      <c r="I86">
        <v>16722</v>
      </c>
      <c r="J86">
        <v>15996</v>
      </c>
      <c r="K86">
        <v>145</v>
      </c>
      <c r="L86" t="s">
        <v>18</v>
      </c>
      <c r="M86" t="s">
        <v>36</v>
      </c>
      <c r="N86">
        <v>8.6293505561535699E-2</v>
      </c>
      <c r="O86" t="str">
        <f>IF(Posts[[#This Row],[Campaign_Name]] = "Not Available", "before campaign", "after campaign")</f>
        <v>after campaign</v>
      </c>
    </row>
    <row r="87" spans="1:15" x14ac:dyDescent="0.3">
      <c r="A87" t="s">
        <v>292</v>
      </c>
      <c r="B87" t="s">
        <v>48</v>
      </c>
      <c r="C87" s="1">
        <v>45530</v>
      </c>
      <c r="D87" t="s">
        <v>67</v>
      </c>
      <c r="E87" t="s">
        <v>76</v>
      </c>
      <c r="F87">
        <v>3452</v>
      </c>
      <c r="G87">
        <v>377</v>
      </c>
      <c r="H87">
        <v>360</v>
      </c>
      <c r="I87">
        <v>55232</v>
      </c>
      <c r="J87">
        <v>55075</v>
      </c>
      <c r="K87">
        <v>87</v>
      </c>
      <c r="L87" t="s">
        <v>32</v>
      </c>
      <c r="M87" t="s">
        <v>36</v>
      </c>
      <c r="N87">
        <v>7.5843713789107758E-2</v>
      </c>
      <c r="O87" t="str">
        <f>IF(Posts[[#This Row],[Campaign_Name]] = "Not Available", "before campaign", "after campaign")</f>
        <v>after campaign</v>
      </c>
    </row>
    <row r="88" spans="1:15" x14ac:dyDescent="0.3">
      <c r="A88" t="s">
        <v>192</v>
      </c>
      <c r="B88" t="s">
        <v>48</v>
      </c>
      <c r="C88" s="1">
        <v>45531</v>
      </c>
      <c r="D88" t="s">
        <v>21</v>
      </c>
      <c r="E88" t="s">
        <v>117</v>
      </c>
      <c r="F88">
        <v>3960</v>
      </c>
      <c r="G88">
        <v>266</v>
      </c>
      <c r="H88">
        <v>8</v>
      </c>
      <c r="I88">
        <v>35640</v>
      </c>
      <c r="J88">
        <v>34850</v>
      </c>
      <c r="K88">
        <v>208</v>
      </c>
      <c r="L88" t="s">
        <v>32</v>
      </c>
      <c r="M88" t="s">
        <v>19</v>
      </c>
      <c r="N88">
        <v>0.11879910213243547</v>
      </c>
      <c r="O88" t="str">
        <f>IF(Posts[[#This Row],[Campaign_Name]] = "Not Available", "before campaign", "after campaign")</f>
        <v>before campaign</v>
      </c>
    </row>
    <row r="89" spans="1:15" x14ac:dyDescent="0.3">
      <c r="A89" t="s">
        <v>246</v>
      </c>
      <c r="B89" t="s">
        <v>48</v>
      </c>
      <c r="C89" s="1">
        <v>45534</v>
      </c>
      <c r="D89" t="s">
        <v>67</v>
      </c>
      <c r="E89" t="s">
        <v>76</v>
      </c>
      <c r="F89">
        <v>3784</v>
      </c>
      <c r="G89">
        <v>808</v>
      </c>
      <c r="H89">
        <v>404</v>
      </c>
      <c r="I89">
        <v>56760</v>
      </c>
      <c r="J89">
        <v>56343</v>
      </c>
      <c r="K89">
        <v>131</v>
      </c>
      <c r="L89" t="s">
        <v>23</v>
      </c>
      <c r="M89" t="s">
        <v>40</v>
      </c>
      <c r="N89">
        <v>8.8019732205778717E-2</v>
      </c>
      <c r="O89" t="str">
        <f>IF(Posts[[#This Row],[Campaign_Name]] = "Not Available", "before campaign", "after campaign")</f>
        <v>after campaign</v>
      </c>
    </row>
    <row r="90" spans="1:15" x14ac:dyDescent="0.3">
      <c r="A90" t="s">
        <v>89</v>
      </c>
      <c r="B90" t="s">
        <v>26</v>
      </c>
      <c r="C90" s="1">
        <v>45535</v>
      </c>
      <c r="D90" t="s">
        <v>38</v>
      </c>
      <c r="E90" t="s">
        <v>39</v>
      </c>
      <c r="F90">
        <v>3170</v>
      </c>
      <c r="G90">
        <v>857</v>
      </c>
      <c r="H90">
        <v>379</v>
      </c>
      <c r="I90">
        <v>19020</v>
      </c>
      <c r="J90">
        <v>18559</v>
      </c>
      <c r="K90">
        <v>240</v>
      </c>
      <c r="L90" t="s">
        <v>32</v>
      </c>
      <c r="M90" t="s">
        <v>19</v>
      </c>
      <c r="N90">
        <v>0.2316508937960042</v>
      </c>
      <c r="O90" t="str">
        <f>IF(Posts[[#This Row],[Campaign_Name]] = "Not Available", "before campaign", "after campaign")</f>
        <v>before campaign</v>
      </c>
    </row>
    <row r="91" spans="1:15" x14ac:dyDescent="0.3">
      <c r="A91" t="s">
        <v>265</v>
      </c>
      <c r="B91" t="s">
        <v>26</v>
      </c>
      <c r="C91" s="1">
        <v>45535</v>
      </c>
      <c r="D91" t="s">
        <v>34</v>
      </c>
      <c r="E91" t="s">
        <v>35</v>
      </c>
      <c r="F91">
        <v>4494</v>
      </c>
      <c r="G91">
        <v>717</v>
      </c>
      <c r="H91">
        <v>45</v>
      </c>
      <c r="I91">
        <v>62916</v>
      </c>
      <c r="J91">
        <v>62688</v>
      </c>
      <c r="K91">
        <v>191</v>
      </c>
      <c r="L91" t="s">
        <v>23</v>
      </c>
      <c r="M91" t="s">
        <v>46</v>
      </c>
      <c r="N91">
        <v>8.3539958039290485E-2</v>
      </c>
      <c r="O91" t="str">
        <f>IF(Posts[[#This Row],[Campaign_Name]] = "Not Available", "before campaign", "after campaign")</f>
        <v>after campaign</v>
      </c>
    </row>
    <row r="92" spans="1:15" x14ac:dyDescent="0.3">
      <c r="A92" t="s">
        <v>190</v>
      </c>
      <c r="B92" t="s">
        <v>42</v>
      </c>
      <c r="C92" s="1">
        <v>45537</v>
      </c>
      <c r="D92" t="s">
        <v>34</v>
      </c>
      <c r="E92" t="s">
        <v>43</v>
      </c>
      <c r="F92">
        <v>2551</v>
      </c>
      <c r="G92">
        <v>915</v>
      </c>
      <c r="H92">
        <v>205</v>
      </c>
      <c r="I92">
        <v>30612</v>
      </c>
      <c r="J92">
        <v>30360</v>
      </c>
      <c r="K92">
        <v>227</v>
      </c>
      <c r="L92" t="s">
        <v>23</v>
      </c>
      <c r="M92" t="s">
        <v>40</v>
      </c>
      <c r="N92">
        <v>0.1199202926956749</v>
      </c>
      <c r="O92" t="str">
        <f>IF(Posts[[#This Row],[Campaign_Name]] = "Not Available", "before campaign", "after campaign")</f>
        <v>after campaign</v>
      </c>
    </row>
    <row r="93" spans="1:15" x14ac:dyDescent="0.3">
      <c r="A93" t="s">
        <v>340</v>
      </c>
      <c r="B93" t="s">
        <v>42</v>
      </c>
      <c r="C93" s="1">
        <v>45537</v>
      </c>
      <c r="D93" t="s">
        <v>38</v>
      </c>
      <c r="E93" t="s">
        <v>45</v>
      </c>
      <c r="F93">
        <v>4905</v>
      </c>
      <c r="G93">
        <v>845</v>
      </c>
      <c r="H93">
        <v>129</v>
      </c>
      <c r="I93">
        <v>98100</v>
      </c>
      <c r="J93">
        <v>97772</v>
      </c>
      <c r="K93">
        <v>279</v>
      </c>
      <c r="L93" t="s">
        <v>23</v>
      </c>
      <c r="M93" t="s">
        <v>40</v>
      </c>
      <c r="N93">
        <v>5.9928644240570844E-2</v>
      </c>
      <c r="O93" t="str">
        <f>IF(Posts[[#This Row],[Campaign_Name]] = "Not Available", "before campaign", "after campaign")</f>
        <v>after campaign</v>
      </c>
    </row>
    <row r="94" spans="1:15" x14ac:dyDescent="0.3">
      <c r="A94" t="s">
        <v>153</v>
      </c>
      <c r="B94" t="s">
        <v>26</v>
      </c>
      <c r="C94" s="1">
        <v>45540</v>
      </c>
      <c r="D94" t="s">
        <v>29</v>
      </c>
      <c r="E94" t="s">
        <v>100</v>
      </c>
      <c r="F94">
        <v>4886</v>
      </c>
      <c r="G94">
        <v>983</v>
      </c>
      <c r="H94">
        <v>409</v>
      </c>
      <c r="I94">
        <v>43974</v>
      </c>
      <c r="J94">
        <v>43239</v>
      </c>
      <c r="K94">
        <v>65</v>
      </c>
      <c r="L94" t="s">
        <v>23</v>
      </c>
      <c r="M94" t="s">
        <v>46</v>
      </c>
      <c r="N94">
        <v>0.14276618001546368</v>
      </c>
      <c r="O94" t="str">
        <f>IF(Posts[[#This Row],[Campaign_Name]] = "Not Available", "before campaign", "after campaign")</f>
        <v>after campaign</v>
      </c>
    </row>
    <row r="95" spans="1:15" x14ac:dyDescent="0.3">
      <c r="A95" t="s">
        <v>154</v>
      </c>
      <c r="B95" t="s">
        <v>26</v>
      </c>
      <c r="C95" s="1">
        <v>45543</v>
      </c>
      <c r="D95" t="s">
        <v>34</v>
      </c>
      <c r="E95" t="s">
        <v>35</v>
      </c>
      <c r="F95">
        <v>3811</v>
      </c>
      <c r="G95">
        <v>866</v>
      </c>
      <c r="H95">
        <v>216</v>
      </c>
      <c r="I95">
        <v>34299</v>
      </c>
      <c r="J95">
        <v>34088</v>
      </c>
      <c r="K95">
        <v>233</v>
      </c>
      <c r="L95" t="s">
        <v>23</v>
      </c>
      <c r="M95" t="s">
        <v>24</v>
      </c>
      <c r="N95">
        <v>0.14265722032712325</v>
      </c>
      <c r="O95" t="str">
        <f>IF(Posts[[#This Row],[Campaign_Name]] = "Not Available", "before campaign", "after campaign")</f>
        <v>after campaign</v>
      </c>
    </row>
    <row r="96" spans="1:15" x14ac:dyDescent="0.3">
      <c r="A96" t="s">
        <v>331</v>
      </c>
      <c r="B96" t="s">
        <v>15</v>
      </c>
      <c r="C96" s="1">
        <v>45544</v>
      </c>
      <c r="D96" t="s">
        <v>34</v>
      </c>
      <c r="E96" t="s">
        <v>60</v>
      </c>
      <c r="F96">
        <v>4054</v>
      </c>
      <c r="G96">
        <v>488</v>
      </c>
      <c r="H96">
        <v>373</v>
      </c>
      <c r="I96">
        <v>77026</v>
      </c>
      <c r="J96">
        <v>76881</v>
      </c>
      <c r="K96">
        <v>25</v>
      </c>
      <c r="L96" t="s">
        <v>23</v>
      </c>
      <c r="M96" t="s">
        <v>46</v>
      </c>
      <c r="N96">
        <v>6.3809622724794221E-2</v>
      </c>
      <c r="O96" t="str">
        <f>IF(Posts[[#This Row],[Campaign_Name]] = "Not Available", "before campaign", "after campaign")</f>
        <v>after campaign</v>
      </c>
    </row>
    <row r="97" spans="1:15" x14ac:dyDescent="0.3">
      <c r="A97" t="s">
        <v>214</v>
      </c>
      <c r="B97" t="s">
        <v>26</v>
      </c>
      <c r="C97" s="1">
        <v>45545</v>
      </c>
      <c r="D97" t="s">
        <v>38</v>
      </c>
      <c r="E97" t="s">
        <v>39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32</v>
      </c>
      <c r="M97" t="s">
        <v>19</v>
      </c>
      <c r="N97">
        <v>0.10339256865912763</v>
      </c>
      <c r="O97" t="str">
        <f>IF(Posts[[#This Row],[Campaign_Name]] = "Not Available", "before campaign", "after campaign")</f>
        <v>before campaign</v>
      </c>
    </row>
    <row r="98" spans="1:15" x14ac:dyDescent="0.3">
      <c r="A98" t="s">
        <v>223</v>
      </c>
      <c r="B98" t="s">
        <v>26</v>
      </c>
      <c r="C98" s="1">
        <v>45546</v>
      </c>
      <c r="D98" t="s">
        <v>38</v>
      </c>
      <c r="E98" t="s">
        <v>39</v>
      </c>
      <c r="F98">
        <v>4858</v>
      </c>
      <c r="G98">
        <v>317</v>
      </c>
      <c r="H98">
        <v>129</v>
      </c>
      <c r="I98">
        <v>53438</v>
      </c>
      <c r="J98">
        <v>52687</v>
      </c>
      <c r="K98">
        <v>223</v>
      </c>
      <c r="L98" t="s">
        <v>18</v>
      </c>
      <c r="M98" t="s">
        <v>36</v>
      </c>
      <c r="N98">
        <v>9.9255211647142488E-2</v>
      </c>
      <c r="O98" t="str">
        <f>IF(Posts[[#This Row],[Campaign_Name]] = "Not Available", "before campaign", "after campaign")</f>
        <v>after campaign</v>
      </c>
    </row>
    <row r="99" spans="1:15" x14ac:dyDescent="0.3">
      <c r="A99" t="s">
        <v>107</v>
      </c>
      <c r="B99" t="s">
        <v>26</v>
      </c>
      <c r="C99" s="1">
        <v>45549</v>
      </c>
      <c r="D99" t="s">
        <v>38</v>
      </c>
      <c r="E99" t="s">
        <v>39</v>
      </c>
      <c r="F99">
        <v>1048</v>
      </c>
      <c r="G99">
        <v>374</v>
      </c>
      <c r="H99">
        <v>450</v>
      </c>
      <c r="I99">
        <v>9432</v>
      </c>
      <c r="J99">
        <v>8882</v>
      </c>
      <c r="K99">
        <v>158</v>
      </c>
      <c r="L99" t="s">
        <v>23</v>
      </c>
      <c r="M99" t="s">
        <v>36</v>
      </c>
      <c r="N99">
        <v>0.19847328244274809</v>
      </c>
      <c r="O99" t="str">
        <f>IF(Posts[[#This Row],[Campaign_Name]] = "Not Available", "before campaign", "after campaign")</f>
        <v>after campaign</v>
      </c>
    </row>
    <row r="100" spans="1:15" x14ac:dyDescent="0.3">
      <c r="A100" t="s">
        <v>199</v>
      </c>
      <c r="B100" t="s">
        <v>26</v>
      </c>
      <c r="C100" s="1">
        <v>45552</v>
      </c>
      <c r="D100" t="s">
        <v>67</v>
      </c>
      <c r="E100" t="s">
        <v>84</v>
      </c>
      <c r="F100">
        <v>571</v>
      </c>
      <c r="G100">
        <v>190</v>
      </c>
      <c r="H100">
        <v>352</v>
      </c>
      <c r="I100">
        <v>9707</v>
      </c>
      <c r="J100">
        <v>9418</v>
      </c>
      <c r="K100">
        <v>231</v>
      </c>
      <c r="L100" t="s">
        <v>23</v>
      </c>
      <c r="M100" t="s">
        <v>24</v>
      </c>
      <c r="N100">
        <v>0.11465952405480581</v>
      </c>
      <c r="O100" t="str">
        <f>IF(Posts[[#This Row],[Campaign_Name]] = "Not Available", "before campaign", "after campaign")</f>
        <v>after campaign</v>
      </c>
    </row>
    <row r="101" spans="1:15" x14ac:dyDescent="0.3">
      <c r="A101" t="s">
        <v>312</v>
      </c>
      <c r="B101" t="s">
        <v>42</v>
      </c>
      <c r="C101" s="1">
        <v>45552</v>
      </c>
      <c r="D101" t="s">
        <v>67</v>
      </c>
      <c r="E101" t="s">
        <v>81</v>
      </c>
      <c r="F101">
        <v>2076</v>
      </c>
      <c r="G101">
        <v>195</v>
      </c>
      <c r="H101">
        <v>104</v>
      </c>
      <c r="I101">
        <v>33216</v>
      </c>
      <c r="J101">
        <v>32244</v>
      </c>
      <c r="K101">
        <v>51</v>
      </c>
      <c r="L101" t="s">
        <v>32</v>
      </c>
      <c r="M101" t="s">
        <v>24</v>
      </c>
      <c r="N101">
        <v>7.1501685934489398E-2</v>
      </c>
      <c r="O101" t="str">
        <f>IF(Posts[[#This Row],[Campaign_Name]] = "Not Available", "before campaign", "after campaign")</f>
        <v>after campaign</v>
      </c>
    </row>
    <row r="102" spans="1:15" x14ac:dyDescent="0.3">
      <c r="A102" t="s">
        <v>53</v>
      </c>
      <c r="B102" t="s">
        <v>26</v>
      </c>
      <c r="C102" s="1">
        <v>45553</v>
      </c>
      <c r="D102" t="s">
        <v>21</v>
      </c>
      <c r="E102" t="s">
        <v>54</v>
      </c>
      <c r="F102">
        <v>1000</v>
      </c>
      <c r="G102">
        <v>978</v>
      </c>
      <c r="H102">
        <v>162</v>
      </c>
      <c r="I102">
        <v>6000</v>
      </c>
      <c r="J102">
        <v>5221</v>
      </c>
      <c r="K102">
        <v>223</v>
      </c>
      <c r="L102" t="s">
        <v>18</v>
      </c>
      <c r="M102" t="s">
        <v>40</v>
      </c>
      <c r="N102">
        <v>0.35666666666666669</v>
      </c>
      <c r="O102" t="str">
        <f>IF(Posts[[#This Row],[Campaign_Name]] = "Not Available", "before campaign", "after campaign")</f>
        <v>after campaign</v>
      </c>
    </row>
    <row r="103" spans="1:15" x14ac:dyDescent="0.3">
      <c r="A103" t="s">
        <v>347</v>
      </c>
      <c r="B103" t="s">
        <v>42</v>
      </c>
      <c r="C103" s="1">
        <v>45553</v>
      </c>
      <c r="D103" t="s">
        <v>34</v>
      </c>
      <c r="E103" t="s">
        <v>43</v>
      </c>
      <c r="F103">
        <v>2143</v>
      </c>
      <c r="G103">
        <v>12</v>
      </c>
      <c r="H103">
        <v>204</v>
      </c>
      <c r="I103">
        <v>40717</v>
      </c>
      <c r="J103">
        <v>40125</v>
      </c>
      <c r="K103">
        <v>248</v>
      </c>
      <c r="L103" t="s">
        <v>18</v>
      </c>
      <c r="M103" t="s">
        <v>40</v>
      </c>
      <c r="N103">
        <v>5.7936488444630008E-2</v>
      </c>
      <c r="O103" t="str">
        <f>IF(Posts[[#This Row],[Campaign_Name]] = "Not Available", "before campaign", "after campaign")</f>
        <v>after campaign</v>
      </c>
    </row>
    <row r="104" spans="1:15" x14ac:dyDescent="0.3">
      <c r="A104" t="s">
        <v>109</v>
      </c>
      <c r="B104" t="s">
        <v>42</v>
      </c>
      <c r="C104" s="1">
        <v>45560</v>
      </c>
      <c r="D104" t="s">
        <v>29</v>
      </c>
      <c r="E104" t="s">
        <v>74</v>
      </c>
      <c r="F104">
        <v>3389</v>
      </c>
      <c r="G104">
        <v>344</v>
      </c>
      <c r="H104">
        <v>229</v>
      </c>
      <c r="I104">
        <v>20334</v>
      </c>
      <c r="J104">
        <v>19443</v>
      </c>
      <c r="K104">
        <v>228</v>
      </c>
      <c r="L104" t="s">
        <v>32</v>
      </c>
      <c r="M104" t="s">
        <v>36</v>
      </c>
      <c r="N104">
        <v>0.19484607062063539</v>
      </c>
      <c r="O104" t="str">
        <f>IF(Posts[[#This Row],[Campaign_Name]] = "Not Available", "before campaign", "after campaign")</f>
        <v>after campaign</v>
      </c>
    </row>
    <row r="105" spans="1:15" x14ac:dyDescent="0.3">
      <c r="A105" t="s">
        <v>243</v>
      </c>
      <c r="B105" t="s">
        <v>42</v>
      </c>
      <c r="C105" s="1">
        <v>45564</v>
      </c>
      <c r="D105" t="s">
        <v>21</v>
      </c>
      <c r="E105" t="s">
        <v>93</v>
      </c>
      <c r="F105">
        <v>2936</v>
      </c>
      <c r="G105">
        <v>439</v>
      </c>
      <c r="H105">
        <v>44</v>
      </c>
      <c r="I105">
        <v>38168</v>
      </c>
      <c r="J105">
        <v>37571</v>
      </c>
      <c r="K105">
        <v>22</v>
      </c>
      <c r="L105" t="s">
        <v>18</v>
      </c>
      <c r="M105" t="s">
        <v>24</v>
      </c>
      <c r="N105">
        <v>8.9577656675749323E-2</v>
      </c>
      <c r="O105" t="str">
        <f>IF(Posts[[#This Row],[Campaign_Name]] = "Not Available", "before campaign", "after campaign")</f>
        <v>after campaign</v>
      </c>
    </row>
    <row r="106" spans="1:15" x14ac:dyDescent="0.3">
      <c r="A106" t="s">
        <v>41</v>
      </c>
      <c r="B106" t="s">
        <v>42</v>
      </c>
      <c r="C106" s="1">
        <v>45567</v>
      </c>
      <c r="D106" t="s">
        <v>34</v>
      </c>
      <c r="E106" t="s">
        <v>43</v>
      </c>
      <c r="F106">
        <v>80</v>
      </c>
      <c r="G106">
        <v>362</v>
      </c>
      <c r="H106">
        <v>80</v>
      </c>
      <c r="I106">
        <v>1040</v>
      </c>
      <c r="J106">
        <v>349</v>
      </c>
      <c r="K106">
        <v>117</v>
      </c>
      <c r="L106" t="s">
        <v>23</v>
      </c>
      <c r="M106" t="s">
        <v>36</v>
      </c>
      <c r="N106">
        <v>0.50192307692307692</v>
      </c>
      <c r="O106" t="str">
        <f>IF(Posts[[#This Row],[Campaign_Name]] = "Not Available", "before campaign", "after campaign")</f>
        <v>after campaign</v>
      </c>
    </row>
    <row r="107" spans="1:15" x14ac:dyDescent="0.3">
      <c r="A107" t="s">
        <v>200</v>
      </c>
      <c r="B107" t="s">
        <v>26</v>
      </c>
      <c r="C107" s="1">
        <v>45567</v>
      </c>
      <c r="D107" t="s">
        <v>34</v>
      </c>
      <c r="E107" t="s">
        <v>35</v>
      </c>
      <c r="F107">
        <v>4419</v>
      </c>
      <c r="G107">
        <v>236</v>
      </c>
      <c r="H107">
        <v>369</v>
      </c>
      <c r="I107">
        <v>44190</v>
      </c>
      <c r="J107">
        <v>43582</v>
      </c>
      <c r="K107">
        <v>10</v>
      </c>
      <c r="L107" t="s">
        <v>18</v>
      </c>
      <c r="M107" t="s">
        <v>46</v>
      </c>
      <c r="N107">
        <v>0.11369088028965829</v>
      </c>
      <c r="O107" t="str">
        <f>IF(Posts[[#This Row],[Campaign_Name]] = "Not Available", "before campaign", "after campaign")</f>
        <v>after campaign</v>
      </c>
    </row>
    <row r="108" spans="1:15" x14ac:dyDescent="0.3">
      <c r="A108" t="s">
        <v>261</v>
      </c>
      <c r="B108" t="s">
        <v>42</v>
      </c>
      <c r="C108" s="1">
        <v>45567</v>
      </c>
      <c r="D108" t="s">
        <v>16</v>
      </c>
      <c r="E108" t="s">
        <v>160</v>
      </c>
      <c r="F108">
        <v>4350</v>
      </c>
      <c r="G108">
        <v>771</v>
      </c>
      <c r="H108">
        <v>7</v>
      </c>
      <c r="I108">
        <v>60900</v>
      </c>
      <c r="J108">
        <v>60592</v>
      </c>
      <c r="K108">
        <v>195</v>
      </c>
      <c r="L108" t="s">
        <v>18</v>
      </c>
      <c r="M108" t="s">
        <v>46</v>
      </c>
      <c r="N108">
        <v>8.4203612479474554E-2</v>
      </c>
      <c r="O108" t="str">
        <f>IF(Posts[[#This Row],[Campaign_Name]] = "Not Available", "before campaign", "after campaign")</f>
        <v>after campaign</v>
      </c>
    </row>
    <row r="109" spans="1:15" x14ac:dyDescent="0.3">
      <c r="A109" t="s">
        <v>276</v>
      </c>
      <c r="B109" t="s">
        <v>15</v>
      </c>
      <c r="C109" s="1">
        <v>45567</v>
      </c>
      <c r="D109" t="s">
        <v>67</v>
      </c>
      <c r="E109" t="s">
        <v>68</v>
      </c>
      <c r="F109">
        <v>3432</v>
      </c>
      <c r="G109">
        <v>869</v>
      </c>
      <c r="H109">
        <v>123</v>
      </c>
      <c r="I109">
        <v>54912</v>
      </c>
      <c r="J109">
        <v>53916</v>
      </c>
      <c r="K109">
        <v>264</v>
      </c>
      <c r="L109" t="s">
        <v>18</v>
      </c>
      <c r="M109" t="s">
        <v>40</v>
      </c>
      <c r="N109">
        <v>8.0565268065268064E-2</v>
      </c>
      <c r="O109" t="str">
        <f>IF(Posts[[#This Row],[Campaign_Name]] = "Not Available", "before campaign", "after campaign")</f>
        <v>after campaign</v>
      </c>
    </row>
    <row r="110" spans="1:15" x14ac:dyDescent="0.3">
      <c r="A110" t="s">
        <v>210</v>
      </c>
      <c r="B110" t="s">
        <v>15</v>
      </c>
      <c r="C110" s="1">
        <v>45568</v>
      </c>
      <c r="D110" t="s">
        <v>29</v>
      </c>
      <c r="E110" t="s">
        <v>30</v>
      </c>
      <c r="F110">
        <v>1488</v>
      </c>
      <c r="G110">
        <v>417</v>
      </c>
      <c r="H110">
        <v>168</v>
      </c>
      <c r="I110">
        <v>19344</v>
      </c>
      <c r="J110">
        <v>18395</v>
      </c>
      <c r="K110">
        <v>30</v>
      </c>
      <c r="L110" t="s">
        <v>32</v>
      </c>
      <c r="M110" t="s">
        <v>36</v>
      </c>
      <c r="N110">
        <v>0.1071650124069479</v>
      </c>
      <c r="O110" t="str">
        <f>IF(Posts[[#This Row],[Campaign_Name]] = "Not Available", "before campaign", "after campaign")</f>
        <v>after campaign</v>
      </c>
    </row>
    <row r="111" spans="1:15" x14ac:dyDescent="0.3">
      <c r="A111" t="s">
        <v>330</v>
      </c>
      <c r="B111" t="s">
        <v>26</v>
      </c>
      <c r="C111" s="1">
        <v>45569</v>
      </c>
      <c r="D111" t="s">
        <v>21</v>
      </c>
      <c r="E111" t="s">
        <v>54</v>
      </c>
      <c r="F111">
        <v>4187</v>
      </c>
      <c r="G111">
        <v>66</v>
      </c>
      <c r="H111">
        <v>31</v>
      </c>
      <c r="I111">
        <v>66992</v>
      </c>
      <c r="J111">
        <v>66614</v>
      </c>
      <c r="K111">
        <v>62</v>
      </c>
      <c r="L111" t="s">
        <v>32</v>
      </c>
      <c r="M111" t="s">
        <v>19</v>
      </c>
      <c r="N111">
        <v>6.3947934081681396E-2</v>
      </c>
      <c r="O111" t="str">
        <f>IF(Posts[[#This Row],[Campaign_Name]] = "Not Available", "before campaign", "after campaign")</f>
        <v>before campaign</v>
      </c>
    </row>
    <row r="112" spans="1:15" x14ac:dyDescent="0.3">
      <c r="A112" t="s">
        <v>352</v>
      </c>
      <c r="B112" t="s">
        <v>42</v>
      </c>
      <c r="C112" s="1">
        <v>45569</v>
      </c>
      <c r="D112" t="s">
        <v>67</v>
      </c>
      <c r="E112" t="s">
        <v>81</v>
      </c>
      <c r="F112">
        <v>1963</v>
      </c>
      <c r="G112">
        <v>213</v>
      </c>
      <c r="H112">
        <v>19</v>
      </c>
      <c r="I112">
        <v>39260</v>
      </c>
      <c r="J112">
        <v>38771</v>
      </c>
      <c r="K112">
        <v>145</v>
      </c>
      <c r="L112" t="s">
        <v>32</v>
      </c>
      <c r="M112" t="s">
        <v>19</v>
      </c>
      <c r="N112">
        <v>5.5909322465613857E-2</v>
      </c>
      <c r="O112" t="str">
        <f>IF(Posts[[#This Row],[Campaign_Name]] = "Not Available", "before campaign", "after campaign")</f>
        <v>before campaign</v>
      </c>
    </row>
    <row r="113" spans="1:15" x14ac:dyDescent="0.3">
      <c r="A113" t="s">
        <v>124</v>
      </c>
      <c r="B113" t="s">
        <v>26</v>
      </c>
      <c r="C113" s="1">
        <v>45570</v>
      </c>
      <c r="D113" t="s">
        <v>16</v>
      </c>
      <c r="E113" t="s">
        <v>27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32</v>
      </c>
      <c r="M113" t="s">
        <v>36</v>
      </c>
      <c r="N113">
        <v>0.17441662408448305</v>
      </c>
      <c r="O113" t="str">
        <f>IF(Posts[[#This Row],[Campaign_Name]] = "Not Available", "before campaign", "after campaign")</f>
        <v>after campaign</v>
      </c>
    </row>
    <row r="114" spans="1:15" x14ac:dyDescent="0.3">
      <c r="A114" t="s">
        <v>204</v>
      </c>
      <c r="B114" t="s">
        <v>48</v>
      </c>
      <c r="C114" s="1">
        <v>45573</v>
      </c>
      <c r="D114" t="s">
        <v>21</v>
      </c>
      <c r="E114" t="s">
        <v>117</v>
      </c>
      <c r="F114">
        <v>1814</v>
      </c>
      <c r="G114">
        <v>653</v>
      </c>
      <c r="H114">
        <v>363</v>
      </c>
      <c r="I114">
        <v>25396</v>
      </c>
      <c r="J114">
        <v>25286</v>
      </c>
      <c r="K114">
        <v>39</v>
      </c>
      <c r="L114" t="s">
        <v>32</v>
      </c>
      <c r="M114" t="s">
        <v>46</v>
      </c>
      <c r="N114">
        <v>0.11143487163332809</v>
      </c>
      <c r="O114" t="str">
        <f>IF(Posts[[#This Row],[Campaign_Name]] = "Not Available", "before campaign", "after campaign")</f>
        <v>after campaign</v>
      </c>
    </row>
    <row r="115" spans="1:15" x14ac:dyDescent="0.3">
      <c r="A115" t="s">
        <v>59</v>
      </c>
      <c r="B115" t="s">
        <v>15</v>
      </c>
      <c r="C115" s="1">
        <v>45574</v>
      </c>
      <c r="D115" t="s">
        <v>34</v>
      </c>
      <c r="E115" t="s">
        <v>60</v>
      </c>
      <c r="F115">
        <v>985</v>
      </c>
      <c r="G115">
        <v>932</v>
      </c>
      <c r="H115">
        <v>287</v>
      </c>
      <c r="I115">
        <v>6895</v>
      </c>
      <c r="J115">
        <v>6757</v>
      </c>
      <c r="K115">
        <v>64</v>
      </c>
      <c r="L115" t="s">
        <v>32</v>
      </c>
      <c r="M115" t="s">
        <v>24</v>
      </c>
      <c r="N115">
        <v>0.31965192168237855</v>
      </c>
      <c r="O115" t="str">
        <f>IF(Posts[[#This Row],[Campaign_Name]] = "Not Available", "before campaign", "after campaign")</f>
        <v>after campaign</v>
      </c>
    </row>
    <row r="116" spans="1:15" x14ac:dyDescent="0.3">
      <c r="A116" t="s">
        <v>244</v>
      </c>
      <c r="B116" t="s">
        <v>15</v>
      </c>
      <c r="C116" s="1">
        <v>45574</v>
      </c>
      <c r="D116" t="s">
        <v>34</v>
      </c>
      <c r="E116" t="s">
        <v>60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18</v>
      </c>
      <c r="M116" t="s">
        <v>40</v>
      </c>
      <c r="N116">
        <v>8.860696018453515E-2</v>
      </c>
      <c r="O116" t="str">
        <f>IF(Posts[[#This Row],[Campaign_Name]] = "Not Available", "before campaign", "after campaign")</f>
        <v>after campaign</v>
      </c>
    </row>
    <row r="117" spans="1:15" x14ac:dyDescent="0.3">
      <c r="A117" t="s">
        <v>86</v>
      </c>
      <c r="B117" t="s">
        <v>48</v>
      </c>
      <c r="C117" s="1">
        <v>45576</v>
      </c>
      <c r="D117" t="s">
        <v>38</v>
      </c>
      <c r="E117" t="s">
        <v>58</v>
      </c>
      <c r="F117">
        <v>400</v>
      </c>
      <c r="G117">
        <v>680</v>
      </c>
      <c r="H117">
        <v>434</v>
      </c>
      <c r="I117">
        <v>6400</v>
      </c>
      <c r="J117">
        <v>5472</v>
      </c>
      <c r="K117">
        <v>160</v>
      </c>
      <c r="L117" t="s">
        <v>32</v>
      </c>
      <c r="M117" t="s">
        <v>40</v>
      </c>
      <c r="N117">
        <v>0.23656250000000001</v>
      </c>
      <c r="O117" t="str">
        <f>IF(Posts[[#This Row],[Campaign_Name]] = "Not Available", "before campaign", "after campaign")</f>
        <v>after campaign</v>
      </c>
    </row>
    <row r="118" spans="1:15" x14ac:dyDescent="0.3">
      <c r="A118" t="s">
        <v>227</v>
      </c>
      <c r="B118" t="s">
        <v>42</v>
      </c>
      <c r="C118" s="1">
        <v>45577</v>
      </c>
      <c r="D118" t="s">
        <v>16</v>
      </c>
      <c r="E118" t="s">
        <v>160</v>
      </c>
      <c r="F118">
        <v>3641</v>
      </c>
      <c r="G118">
        <v>226</v>
      </c>
      <c r="H118">
        <v>46</v>
      </c>
      <c r="I118">
        <v>40051</v>
      </c>
      <c r="J118">
        <v>39319</v>
      </c>
      <c r="K118">
        <v>296</v>
      </c>
      <c r="L118" t="s">
        <v>18</v>
      </c>
      <c r="M118" t="s">
        <v>24</v>
      </c>
      <c r="N118">
        <v>9.7700431949264685E-2</v>
      </c>
      <c r="O118" t="str">
        <f>IF(Posts[[#This Row],[Campaign_Name]] = "Not Available", "before campaign", "after campaign")</f>
        <v>after campaign</v>
      </c>
    </row>
    <row r="119" spans="1:15" x14ac:dyDescent="0.3">
      <c r="A119" t="s">
        <v>137</v>
      </c>
      <c r="B119" t="s">
        <v>42</v>
      </c>
      <c r="C119" s="1">
        <v>45580</v>
      </c>
      <c r="D119" t="s">
        <v>29</v>
      </c>
      <c r="E119" t="s">
        <v>74</v>
      </c>
      <c r="F119">
        <v>1094</v>
      </c>
      <c r="G119">
        <v>472</v>
      </c>
      <c r="H119">
        <v>21</v>
      </c>
      <c r="I119">
        <v>9846</v>
      </c>
      <c r="J119">
        <v>9609</v>
      </c>
      <c r="K119">
        <v>112</v>
      </c>
      <c r="L119" t="s">
        <v>18</v>
      </c>
      <c r="M119" t="s">
        <v>19</v>
      </c>
      <c r="N119">
        <v>0.16118220597196831</v>
      </c>
      <c r="O119" t="str">
        <f>IF(Posts[[#This Row],[Campaign_Name]] = "Not Available", "before campaign", "after campaign")</f>
        <v>before campaign</v>
      </c>
    </row>
    <row r="120" spans="1:15" x14ac:dyDescent="0.3">
      <c r="A120" t="s">
        <v>101</v>
      </c>
      <c r="B120" t="s">
        <v>15</v>
      </c>
      <c r="C120" s="1">
        <v>45582</v>
      </c>
      <c r="D120" t="s">
        <v>29</v>
      </c>
      <c r="E120" t="s">
        <v>30</v>
      </c>
      <c r="F120">
        <v>3575</v>
      </c>
      <c r="G120">
        <v>749</v>
      </c>
      <c r="H120">
        <v>111</v>
      </c>
      <c r="I120">
        <v>21450</v>
      </c>
      <c r="J120">
        <v>20785</v>
      </c>
      <c r="K120">
        <v>195</v>
      </c>
      <c r="L120" t="s">
        <v>18</v>
      </c>
      <c r="M120" t="s">
        <v>40</v>
      </c>
      <c r="N120">
        <v>0.20675990675990677</v>
      </c>
      <c r="O120" t="str">
        <f>IF(Posts[[#This Row],[Campaign_Name]] = "Not Available", "before campaign", "after campaign")</f>
        <v>after campaign</v>
      </c>
    </row>
    <row r="121" spans="1:15" x14ac:dyDescent="0.3">
      <c r="A121" t="s">
        <v>297</v>
      </c>
      <c r="B121" t="s">
        <v>42</v>
      </c>
      <c r="C121" s="1">
        <v>45583</v>
      </c>
      <c r="D121" t="s">
        <v>29</v>
      </c>
      <c r="E121" t="s">
        <v>74</v>
      </c>
      <c r="F121">
        <v>4450</v>
      </c>
      <c r="G121">
        <v>983</v>
      </c>
      <c r="H121">
        <v>143</v>
      </c>
      <c r="I121">
        <v>75650</v>
      </c>
      <c r="J121">
        <v>75008</v>
      </c>
      <c r="K121">
        <v>12</v>
      </c>
      <c r="L121" t="s">
        <v>32</v>
      </c>
      <c r="M121" t="s">
        <v>36</v>
      </c>
      <c r="N121">
        <v>7.3707865168539333E-2</v>
      </c>
      <c r="O121" t="str">
        <f>IF(Posts[[#This Row],[Campaign_Name]] = "Not Available", "before campaign", "after campaign")</f>
        <v>after campaign</v>
      </c>
    </row>
    <row r="122" spans="1:15" x14ac:dyDescent="0.3">
      <c r="A122" t="s">
        <v>329</v>
      </c>
      <c r="B122" t="s">
        <v>48</v>
      </c>
      <c r="C122" s="1">
        <v>45583</v>
      </c>
      <c r="D122" t="s">
        <v>16</v>
      </c>
      <c r="E122" t="s">
        <v>72</v>
      </c>
      <c r="F122">
        <v>4126</v>
      </c>
      <c r="G122">
        <v>426</v>
      </c>
      <c r="H122">
        <v>486</v>
      </c>
      <c r="I122">
        <v>78394</v>
      </c>
      <c r="J122">
        <v>77798</v>
      </c>
      <c r="K122">
        <v>88</v>
      </c>
      <c r="L122" t="s">
        <v>32</v>
      </c>
      <c r="M122" t="s">
        <v>24</v>
      </c>
      <c r="N122">
        <v>6.4265122330790625E-2</v>
      </c>
      <c r="O122" t="str">
        <f>IF(Posts[[#This Row],[Campaign_Name]] = "Not Available", "before campaign", "after campaign")</f>
        <v>after campaign</v>
      </c>
    </row>
    <row r="123" spans="1:15" x14ac:dyDescent="0.3">
      <c r="A123" t="s">
        <v>230</v>
      </c>
      <c r="B123" t="s">
        <v>15</v>
      </c>
      <c r="C123" s="1">
        <v>45584</v>
      </c>
      <c r="D123" t="s">
        <v>16</v>
      </c>
      <c r="E123" t="s">
        <v>17</v>
      </c>
      <c r="F123">
        <v>1816</v>
      </c>
      <c r="G123">
        <v>29</v>
      </c>
      <c r="H123">
        <v>41</v>
      </c>
      <c r="I123">
        <v>19976</v>
      </c>
      <c r="J123">
        <v>19262</v>
      </c>
      <c r="K123">
        <v>283</v>
      </c>
      <c r="L123" t="s">
        <v>23</v>
      </c>
      <c r="M123" t="s">
        <v>36</v>
      </c>
      <c r="N123">
        <v>9.4413295955146179E-2</v>
      </c>
      <c r="O123" t="str">
        <f>IF(Posts[[#This Row],[Campaign_Name]] = "Not Available", "before campaign", "after campaign")</f>
        <v>after campaign</v>
      </c>
    </row>
    <row r="124" spans="1:15" x14ac:dyDescent="0.3">
      <c r="A124" t="s">
        <v>88</v>
      </c>
      <c r="B124" t="s">
        <v>48</v>
      </c>
      <c r="C124" s="1">
        <v>45586</v>
      </c>
      <c r="D124" t="s">
        <v>16</v>
      </c>
      <c r="E124" t="s">
        <v>72</v>
      </c>
      <c r="F124">
        <v>780</v>
      </c>
      <c r="G124">
        <v>928</v>
      </c>
      <c r="H124">
        <v>301</v>
      </c>
      <c r="I124">
        <v>8580</v>
      </c>
      <c r="J124">
        <v>8081</v>
      </c>
      <c r="K124">
        <v>91</v>
      </c>
      <c r="L124" t="s">
        <v>18</v>
      </c>
      <c r="M124" t="s">
        <v>36</v>
      </c>
      <c r="N124">
        <v>0.23414918414918415</v>
      </c>
      <c r="O124" t="str">
        <f>IF(Posts[[#This Row],[Campaign_Name]] = "Not Available", "before campaign", "after campaign")</f>
        <v>after campaign</v>
      </c>
    </row>
    <row r="125" spans="1:15" x14ac:dyDescent="0.3">
      <c r="A125" t="s">
        <v>146</v>
      </c>
      <c r="B125" t="s">
        <v>15</v>
      </c>
      <c r="C125" s="1">
        <v>45586</v>
      </c>
      <c r="D125" t="s">
        <v>21</v>
      </c>
      <c r="E125" t="s">
        <v>22</v>
      </c>
      <c r="F125">
        <v>3256</v>
      </c>
      <c r="G125">
        <v>459</v>
      </c>
      <c r="H125">
        <v>266</v>
      </c>
      <c r="I125">
        <v>26048</v>
      </c>
      <c r="J125">
        <v>25529</v>
      </c>
      <c r="K125">
        <v>143</v>
      </c>
      <c r="L125" t="s">
        <v>23</v>
      </c>
      <c r="M125" t="s">
        <v>40</v>
      </c>
      <c r="N125">
        <v>0.15283323095823095</v>
      </c>
      <c r="O125" t="str">
        <f>IF(Posts[[#This Row],[Campaign_Name]] = "Not Available", "before campaign", "after campaign")</f>
        <v>after campaign</v>
      </c>
    </row>
    <row r="126" spans="1:15" x14ac:dyDescent="0.3">
      <c r="A126" t="s">
        <v>163</v>
      </c>
      <c r="B126" t="s">
        <v>26</v>
      </c>
      <c r="C126" s="1">
        <v>45586</v>
      </c>
      <c r="D126" t="s">
        <v>16</v>
      </c>
      <c r="E126" t="s">
        <v>27</v>
      </c>
      <c r="F126">
        <v>3801</v>
      </c>
      <c r="G126">
        <v>967</v>
      </c>
      <c r="H126">
        <v>401</v>
      </c>
      <c r="I126">
        <v>38010</v>
      </c>
      <c r="J126">
        <v>37625</v>
      </c>
      <c r="K126">
        <v>236</v>
      </c>
      <c r="L126" t="s">
        <v>32</v>
      </c>
      <c r="M126" t="s">
        <v>36</v>
      </c>
      <c r="N126">
        <v>0.13599052880820836</v>
      </c>
      <c r="O126" t="str">
        <f>IF(Posts[[#This Row],[Campaign_Name]] = "Not Available", "before campaign", "after campaign")</f>
        <v>after campaign</v>
      </c>
    </row>
    <row r="127" spans="1:15" x14ac:dyDescent="0.3">
      <c r="A127" t="s">
        <v>171</v>
      </c>
      <c r="B127" t="s">
        <v>15</v>
      </c>
      <c r="C127" s="1">
        <v>45586</v>
      </c>
      <c r="D127" t="s">
        <v>21</v>
      </c>
      <c r="E127" t="s">
        <v>22</v>
      </c>
      <c r="F127">
        <v>4840</v>
      </c>
      <c r="G127">
        <v>658</v>
      </c>
      <c r="H127">
        <v>211</v>
      </c>
      <c r="I127">
        <v>43560</v>
      </c>
      <c r="J127">
        <v>43225</v>
      </c>
      <c r="K127">
        <v>57</v>
      </c>
      <c r="L127" t="s">
        <v>32</v>
      </c>
      <c r="M127" t="s">
        <v>36</v>
      </c>
      <c r="N127">
        <v>0.13106060606060607</v>
      </c>
      <c r="O127" t="str">
        <f>IF(Posts[[#This Row],[Campaign_Name]] = "Not Available", "before campaign", "after campaign")</f>
        <v>after campaign</v>
      </c>
    </row>
    <row r="128" spans="1:15" x14ac:dyDescent="0.3">
      <c r="A128" t="s">
        <v>266</v>
      </c>
      <c r="B128" t="s">
        <v>42</v>
      </c>
      <c r="C128" s="1">
        <v>45586</v>
      </c>
      <c r="D128" t="s">
        <v>29</v>
      </c>
      <c r="E128" t="s">
        <v>74</v>
      </c>
      <c r="F128">
        <v>4275</v>
      </c>
      <c r="G128">
        <v>680</v>
      </c>
      <c r="H128">
        <v>385</v>
      </c>
      <c r="I128">
        <v>64125</v>
      </c>
      <c r="J128">
        <v>63650</v>
      </c>
      <c r="K128">
        <v>104</v>
      </c>
      <c r="L128" t="s">
        <v>18</v>
      </c>
      <c r="M128" t="s">
        <v>24</v>
      </c>
      <c r="N128">
        <v>8.3274853801169585E-2</v>
      </c>
      <c r="O128" t="str">
        <f>IF(Posts[[#This Row],[Campaign_Name]] = "Not Available", "before campaign", "after campaign")</f>
        <v>after campaign</v>
      </c>
    </row>
    <row r="129" spans="1:15" x14ac:dyDescent="0.3">
      <c r="A129" t="s">
        <v>275</v>
      </c>
      <c r="B129" t="s">
        <v>26</v>
      </c>
      <c r="C129" s="1">
        <v>45586</v>
      </c>
      <c r="D129" t="s">
        <v>29</v>
      </c>
      <c r="E129" t="s">
        <v>100</v>
      </c>
      <c r="F129">
        <v>2825</v>
      </c>
      <c r="G129">
        <v>535</v>
      </c>
      <c r="H129">
        <v>295</v>
      </c>
      <c r="I129">
        <v>45200</v>
      </c>
      <c r="J129">
        <v>44739</v>
      </c>
      <c r="K129">
        <v>169</v>
      </c>
      <c r="L129" t="s">
        <v>23</v>
      </c>
      <c r="M129" t="s">
        <v>46</v>
      </c>
      <c r="N129">
        <v>8.0862831858407078E-2</v>
      </c>
      <c r="O129" t="str">
        <f>IF(Posts[[#This Row],[Campaign_Name]] = "Not Available", "before campaign", "after campaign")</f>
        <v>after campaign</v>
      </c>
    </row>
    <row r="130" spans="1:15" x14ac:dyDescent="0.3">
      <c r="A130" t="s">
        <v>207</v>
      </c>
      <c r="B130" t="s">
        <v>48</v>
      </c>
      <c r="C130" s="1">
        <v>45587</v>
      </c>
      <c r="D130" t="s">
        <v>34</v>
      </c>
      <c r="E130" t="s">
        <v>114</v>
      </c>
      <c r="F130">
        <v>3352</v>
      </c>
      <c r="G130">
        <v>941</v>
      </c>
      <c r="H130">
        <v>482</v>
      </c>
      <c r="I130">
        <v>43576</v>
      </c>
      <c r="J130">
        <v>43338</v>
      </c>
      <c r="K130">
        <v>240</v>
      </c>
      <c r="L130" t="s">
        <v>32</v>
      </c>
      <c r="M130" t="s">
        <v>40</v>
      </c>
      <c r="N130">
        <v>0.1095786671562328</v>
      </c>
      <c r="O130" t="str">
        <f>IF(Posts[[#This Row],[Campaign_Name]] = "Not Available", "before campaign", "after campaign")</f>
        <v>after campaign</v>
      </c>
    </row>
    <row r="131" spans="1:15" x14ac:dyDescent="0.3">
      <c r="A131" t="s">
        <v>322</v>
      </c>
      <c r="B131" t="s">
        <v>15</v>
      </c>
      <c r="C131" s="1">
        <v>45587</v>
      </c>
      <c r="D131" t="s">
        <v>16</v>
      </c>
      <c r="E131" t="s">
        <v>17</v>
      </c>
      <c r="F131">
        <v>3770</v>
      </c>
      <c r="G131">
        <v>917</v>
      </c>
      <c r="H131">
        <v>129</v>
      </c>
      <c r="I131">
        <v>71630</v>
      </c>
      <c r="J131">
        <v>71322</v>
      </c>
      <c r="K131">
        <v>76</v>
      </c>
      <c r="L131" t="s">
        <v>32</v>
      </c>
      <c r="M131" t="s">
        <v>46</v>
      </c>
      <c r="N131">
        <v>6.7234398994834563E-2</v>
      </c>
      <c r="O131" t="str">
        <f>IF(Posts[[#This Row],[Campaign_Name]] = "Not Available", "before campaign", "after campaign")</f>
        <v>after campaign</v>
      </c>
    </row>
    <row r="132" spans="1:15" x14ac:dyDescent="0.3">
      <c r="A132" t="s">
        <v>327</v>
      </c>
      <c r="B132" t="s">
        <v>26</v>
      </c>
      <c r="C132" s="1">
        <v>45587</v>
      </c>
      <c r="D132" t="s">
        <v>21</v>
      </c>
      <c r="E132" t="s">
        <v>54</v>
      </c>
      <c r="F132">
        <v>4782</v>
      </c>
      <c r="G132">
        <v>721</v>
      </c>
      <c r="H132">
        <v>82</v>
      </c>
      <c r="I132">
        <v>86076</v>
      </c>
      <c r="J132">
        <v>85339</v>
      </c>
      <c r="K132">
        <v>19</v>
      </c>
      <c r="L132" t="s">
        <v>18</v>
      </c>
      <c r="M132" t="s">
        <v>46</v>
      </c>
      <c r="N132">
        <v>6.4884520656164318E-2</v>
      </c>
      <c r="O132" t="str">
        <f>IF(Posts[[#This Row],[Campaign_Name]] = "Not Available", "before campaign", "after campaign")</f>
        <v>after campaign</v>
      </c>
    </row>
    <row r="133" spans="1:15" x14ac:dyDescent="0.3">
      <c r="A133" t="s">
        <v>342</v>
      </c>
      <c r="B133" t="s">
        <v>48</v>
      </c>
      <c r="C133" s="1">
        <v>45589</v>
      </c>
      <c r="D133" t="s">
        <v>29</v>
      </c>
      <c r="E133" t="s">
        <v>49</v>
      </c>
      <c r="F133">
        <v>3888</v>
      </c>
      <c r="G133">
        <v>604</v>
      </c>
      <c r="H133">
        <v>128</v>
      </c>
      <c r="I133">
        <v>77760</v>
      </c>
      <c r="J133">
        <v>77167</v>
      </c>
      <c r="K133">
        <v>20</v>
      </c>
      <c r="L133" t="s">
        <v>32</v>
      </c>
      <c r="M133" t="s">
        <v>46</v>
      </c>
      <c r="N133">
        <v>5.941358024691358E-2</v>
      </c>
      <c r="O133" t="str">
        <f>IF(Posts[[#This Row],[Campaign_Name]] = "Not Available", "before campaign", "after campaign")</f>
        <v>after campaign</v>
      </c>
    </row>
    <row r="134" spans="1:15" x14ac:dyDescent="0.3">
      <c r="A134" t="s">
        <v>344</v>
      </c>
      <c r="B134" t="s">
        <v>48</v>
      </c>
      <c r="C134" s="1">
        <v>45589</v>
      </c>
      <c r="D134" t="s">
        <v>38</v>
      </c>
      <c r="E134" t="s">
        <v>58</v>
      </c>
      <c r="F134">
        <v>4303</v>
      </c>
      <c r="G134">
        <v>451</v>
      </c>
      <c r="H134">
        <v>286</v>
      </c>
      <c r="I134">
        <v>86060</v>
      </c>
      <c r="J134">
        <v>85823</v>
      </c>
      <c r="K134">
        <v>14</v>
      </c>
      <c r="L134" t="s">
        <v>23</v>
      </c>
      <c r="M134" t="s">
        <v>36</v>
      </c>
      <c r="N134">
        <v>5.8563792702765516E-2</v>
      </c>
      <c r="O134" t="str">
        <f>IF(Posts[[#This Row],[Campaign_Name]] = "Not Available", "before campaign", "after campaign")</f>
        <v>after campaign</v>
      </c>
    </row>
    <row r="135" spans="1:15" x14ac:dyDescent="0.3">
      <c r="A135" t="s">
        <v>73</v>
      </c>
      <c r="B135" t="s">
        <v>42</v>
      </c>
      <c r="C135" s="1">
        <v>45590</v>
      </c>
      <c r="D135" t="s">
        <v>29</v>
      </c>
      <c r="E135" t="s">
        <v>74</v>
      </c>
      <c r="F135">
        <v>4661</v>
      </c>
      <c r="G135">
        <v>935</v>
      </c>
      <c r="H135">
        <v>433</v>
      </c>
      <c r="I135">
        <v>23305</v>
      </c>
      <c r="J135">
        <v>22583</v>
      </c>
      <c r="K135">
        <v>63</v>
      </c>
      <c r="L135" t="s">
        <v>32</v>
      </c>
      <c r="M135" t="s">
        <v>36</v>
      </c>
      <c r="N135">
        <v>0.25869984981763572</v>
      </c>
      <c r="O135" t="str">
        <f>IF(Posts[[#This Row],[Campaign_Name]] = "Not Available", "before campaign", "after campaign")</f>
        <v>after campaign</v>
      </c>
    </row>
    <row r="136" spans="1:15" x14ac:dyDescent="0.3">
      <c r="A136" t="s">
        <v>267</v>
      </c>
      <c r="B136" t="s">
        <v>15</v>
      </c>
      <c r="C136" s="1">
        <v>45592</v>
      </c>
      <c r="D136" t="s">
        <v>38</v>
      </c>
      <c r="E136" t="s">
        <v>51</v>
      </c>
      <c r="F136">
        <v>4853</v>
      </c>
      <c r="G136">
        <v>837</v>
      </c>
      <c r="H136">
        <v>340</v>
      </c>
      <c r="I136">
        <v>72795</v>
      </c>
      <c r="J136">
        <v>72237</v>
      </c>
      <c r="K136">
        <v>170</v>
      </c>
      <c r="L136" t="s">
        <v>18</v>
      </c>
      <c r="M136" t="s">
        <v>46</v>
      </c>
      <c r="N136">
        <v>8.2835359571399134E-2</v>
      </c>
      <c r="O136" t="str">
        <f>IF(Posts[[#This Row],[Campaign_Name]] = "Not Available", "before campaign", "after campaign")</f>
        <v>after campaign</v>
      </c>
    </row>
    <row r="137" spans="1:15" x14ac:dyDescent="0.3">
      <c r="A137" t="s">
        <v>169</v>
      </c>
      <c r="B137" t="s">
        <v>42</v>
      </c>
      <c r="C137" s="1">
        <v>45593</v>
      </c>
      <c r="D137" t="s">
        <v>21</v>
      </c>
      <c r="E137" t="s">
        <v>93</v>
      </c>
      <c r="F137">
        <v>1855</v>
      </c>
      <c r="G137">
        <v>200</v>
      </c>
      <c r="H137">
        <v>174</v>
      </c>
      <c r="I137">
        <v>16695</v>
      </c>
      <c r="J137">
        <v>16330</v>
      </c>
      <c r="K137">
        <v>123</v>
      </c>
      <c r="L137" t="s">
        <v>23</v>
      </c>
      <c r="M137" t="s">
        <v>36</v>
      </c>
      <c r="N137">
        <v>0.13351302785265048</v>
      </c>
      <c r="O137" t="str">
        <f>IF(Posts[[#This Row],[Campaign_Name]] = "Not Available", "before campaign", "after campaign")</f>
        <v>after campaign</v>
      </c>
    </row>
    <row r="138" spans="1:15" x14ac:dyDescent="0.3">
      <c r="A138" t="s">
        <v>326</v>
      </c>
      <c r="B138" t="s">
        <v>42</v>
      </c>
      <c r="C138" s="1">
        <v>45593</v>
      </c>
      <c r="D138" t="s">
        <v>16</v>
      </c>
      <c r="E138" t="s">
        <v>160</v>
      </c>
      <c r="F138">
        <v>4929</v>
      </c>
      <c r="G138">
        <v>749</v>
      </c>
      <c r="H138">
        <v>452</v>
      </c>
      <c r="I138">
        <v>93651</v>
      </c>
      <c r="J138">
        <v>92810</v>
      </c>
      <c r="K138">
        <v>66</v>
      </c>
      <c r="L138" t="s">
        <v>18</v>
      </c>
      <c r="M138" t="s">
        <v>24</v>
      </c>
      <c r="N138">
        <v>6.5455787978772245E-2</v>
      </c>
      <c r="O138" t="str">
        <f>IF(Posts[[#This Row],[Campaign_Name]] = "Not Available", "before campaign", "after campaign")</f>
        <v>after campaign</v>
      </c>
    </row>
    <row r="139" spans="1:15" x14ac:dyDescent="0.3">
      <c r="A139" t="s">
        <v>232</v>
      </c>
      <c r="B139" t="s">
        <v>42</v>
      </c>
      <c r="C139" s="1">
        <v>45594</v>
      </c>
      <c r="D139" t="s">
        <v>67</v>
      </c>
      <c r="E139" t="s">
        <v>81</v>
      </c>
      <c r="F139">
        <v>2746</v>
      </c>
      <c r="G139">
        <v>156</v>
      </c>
      <c r="H139">
        <v>203</v>
      </c>
      <c r="I139">
        <v>32952</v>
      </c>
      <c r="J139">
        <v>32147</v>
      </c>
      <c r="K139">
        <v>147</v>
      </c>
      <c r="L139" t="s">
        <v>18</v>
      </c>
      <c r="M139" t="s">
        <v>46</v>
      </c>
      <c r="N139">
        <v>9.422796795338674E-2</v>
      </c>
      <c r="O139" t="str">
        <f>IF(Posts[[#This Row],[Campaign_Name]] = "Not Available", "before campaign", "after campaign")</f>
        <v>after campaign</v>
      </c>
    </row>
    <row r="140" spans="1:15" x14ac:dyDescent="0.3">
      <c r="A140" t="s">
        <v>120</v>
      </c>
      <c r="B140" t="s">
        <v>48</v>
      </c>
      <c r="C140" s="1">
        <v>45596</v>
      </c>
      <c r="D140" t="s">
        <v>34</v>
      </c>
      <c r="E140" t="s">
        <v>114</v>
      </c>
      <c r="F140">
        <v>2945</v>
      </c>
      <c r="G140">
        <v>930</v>
      </c>
      <c r="H140">
        <v>355</v>
      </c>
      <c r="I140">
        <v>23560</v>
      </c>
      <c r="J140">
        <v>23275</v>
      </c>
      <c r="K140">
        <v>256</v>
      </c>
      <c r="L140" t="s">
        <v>23</v>
      </c>
      <c r="M140" t="s">
        <v>40</v>
      </c>
      <c r="N140">
        <v>0.17954159592529711</v>
      </c>
      <c r="O140" t="str">
        <f>IF(Posts[[#This Row],[Campaign_Name]] = "Not Available", "before campaign", "after campaign")</f>
        <v>after campaign</v>
      </c>
    </row>
    <row r="141" spans="1:15" x14ac:dyDescent="0.3">
      <c r="A141" t="s">
        <v>294</v>
      </c>
      <c r="B141" t="s">
        <v>48</v>
      </c>
      <c r="C141" s="1">
        <v>45597</v>
      </c>
      <c r="D141" t="s">
        <v>29</v>
      </c>
      <c r="E141" t="s">
        <v>49</v>
      </c>
      <c r="F141">
        <v>3371</v>
      </c>
      <c r="G141">
        <v>106</v>
      </c>
      <c r="H141">
        <v>327</v>
      </c>
      <c r="I141">
        <v>50565</v>
      </c>
      <c r="J141">
        <v>49816</v>
      </c>
      <c r="K141">
        <v>176</v>
      </c>
      <c r="L141" t="s">
        <v>32</v>
      </c>
      <c r="M141" t="s">
        <v>46</v>
      </c>
      <c r="N141">
        <v>7.5229902106199939E-2</v>
      </c>
      <c r="O141" t="str">
        <f>IF(Posts[[#This Row],[Campaign_Name]] = "Not Available", "before campaign", "after campaign")</f>
        <v>after campaign</v>
      </c>
    </row>
    <row r="142" spans="1:15" x14ac:dyDescent="0.3">
      <c r="A142" t="s">
        <v>194</v>
      </c>
      <c r="B142" t="s">
        <v>26</v>
      </c>
      <c r="C142" s="1">
        <v>45600</v>
      </c>
      <c r="D142" t="s">
        <v>38</v>
      </c>
      <c r="E142" t="s">
        <v>39</v>
      </c>
      <c r="F142">
        <v>1606</v>
      </c>
      <c r="G142">
        <v>451</v>
      </c>
      <c r="H142">
        <v>405</v>
      </c>
      <c r="I142">
        <v>20878</v>
      </c>
      <c r="J142">
        <v>20190</v>
      </c>
      <c r="K142">
        <v>219</v>
      </c>
      <c r="L142" t="s">
        <v>18</v>
      </c>
      <c r="M142" t="s">
        <v>24</v>
      </c>
      <c r="N142">
        <v>0.11792317271769326</v>
      </c>
      <c r="O142" t="str">
        <f>IF(Posts[[#This Row],[Campaign_Name]] = "Not Available", "before campaign", "after campaign")</f>
        <v>after campaign</v>
      </c>
    </row>
    <row r="143" spans="1:15" x14ac:dyDescent="0.3">
      <c r="A143" t="s">
        <v>278</v>
      </c>
      <c r="B143" t="s">
        <v>48</v>
      </c>
      <c r="C143" s="1">
        <v>45600</v>
      </c>
      <c r="D143" t="s">
        <v>38</v>
      </c>
      <c r="E143" t="s">
        <v>58</v>
      </c>
      <c r="F143">
        <v>4551</v>
      </c>
      <c r="G143">
        <v>714</v>
      </c>
      <c r="H143">
        <v>207</v>
      </c>
      <c r="I143">
        <v>68265</v>
      </c>
      <c r="J143">
        <v>67754</v>
      </c>
      <c r="K143">
        <v>57</v>
      </c>
      <c r="L143" t="s">
        <v>32</v>
      </c>
      <c r="M143" t="s">
        <v>36</v>
      </c>
      <c r="N143">
        <v>8.0158206987475278E-2</v>
      </c>
      <c r="O143" t="str">
        <f>IF(Posts[[#This Row],[Campaign_Name]] = "Not Available", "before campaign", "after campaign")</f>
        <v>after campaign</v>
      </c>
    </row>
    <row r="144" spans="1:15" x14ac:dyDescent="0.3">
      <c r="A144" t="s">
        <v>91</v>
      </c>
      <c r="B144" t="s">
        <v>15</v>
      </c>
      <c r="C144" s="1">
        <v>45601</v>
      </c>
      <c r="D144" t="s">
        <v>29</v>
      </c>
      <c r="E144" t="s">
        <v>30</v>
      </c>
      <c r="F144">
        <v>4561</v>
      </c>
      <c r="G144">
        <v>51</v>
      </c>
      <c r="H144">
        <v>441</v>
      </c>
      <c r="I144">
        <v>22805</v>
      </c>
      <c r="J144">
        <v>21890</v>
      </c>
      <c r="K144">
        <v>45</v>
      </c>
      <c r="L144" t="s">
        <v>23</v>
      </c>
      <c r="M144" t="s">
        <v>40</v>
      </c>
      <c r="N144">
        <v>0.22157421618066214</v>
      </c>
      <c r="O144" t="str">
        <f>IF(Posts[[#This Row],[Campaign_Name]] = "Not Available", "before campaign", "after campaign")</f>
        <v>after campaign</v>
      </c>
    </row>
    <row r="145" spans="1:15" x14ac:dyDescent="0.3">
      <c r="A145" t="s">
        <v>287</v>
      </c>
      <c r="B145" t="s">
        <v>48</v>
      </c>
      <c r="C145" s="1">
        <v>45602</v>
      </c>
      <c r="D145" t="s">
        <v>29</v>
      </c>
      <c r="E145" t="s">
        <v>49</v>
      </c>
      <c r="F145">
        <v>1606</v>
      </c>
      <c r="G145">
        <v>547</v>
      </c>
      <c r="H145">
        <v>316</v>
      </c>
      <c r="I145">
        <v>32120</v>
      </c>
      <c r="J145">
        <v>31736</v>
      </c>
      <c r="K145">
        <v>225</v>
      </c>
      <c r="L145" t="s">
        <v>23</v>
      </c>
      <c r="M145" t="s">
        <v>40</v>
      </c>
      <c r="N145">
        <v>7.6867995018679955E-2</v>
      </c>
      <c r="O145" t="str">
        <f>IF(Posts[[#This Row],[Campaign_Name]] = "Not Available", "before campaign", "after campaign")</f>
        <v>after campaign</v>
      </c>
    </row>
    <row r="146" spans="1:15" x14ac:dyDescent="0.3">
      <c r="A146" t="s">
        <v>310</v>
      </c>
      <c r="B146" t="s">
        <v>48</v>
      </c>
      <c r="C146" s="1">
        <v>45602</v>
      </c>
      <c r="D146" t="s">
        <v>29</v>
      </c>
      <c r="E146" t="s">
        <v>49</v>
      </c>
      <c r="F146">
        <v>4663</v>
      </c>
      <c r="G146">
        <v>145</v>
      </c>
      <c r="H146">
        <v>225</v>
      </c>
      <c r="I146">
        <v>69945</v>
      </c>
      <c r="J146">
        <v>69596</v>
      </c>
      <c r="K146">
        <v>35</v>
      </c>
      <c r="L146" t="s">
        <v>18</v>
      </c>
      <c r="M146" t="s">
        <v>24</v>
      </c>
      <c r="N146">
        <v>7.1956537279290869E-2</v>
      </c>
      <c r="O146" t="str">
        <f>IF(Posts[[#This Row],[Campaign_Name]] = "Not Available", "before campaign", "after campaign")</f>
        <v>after campaign</v>
      </c>
    </row>
    <row r="147" spans="1:15" x14ac:dyDescent="0.3">
      <c r="A147" t="s">
        <v>28</v>
      </c>
      <c r="B147" t="s">
        <v>15</v>
      </c>
      <c r="C147" s="1">
        <v>45603</v>
      </c>
      <c r="D147" t="s">
        <v>29</v>
      </c>
      <c r="E147" t="s">
        <v>30</v>
      </c>
      <c r="F147">
        <v>129</v>
      </c>
      <c r="G147">
        <v>643</v>
      </c>
      <c r="H147">
        <v>136</v>
      </c>
      <c r="I147">
        <v>1290</v>
      </c>
      <c r="J147">
        <v>839</v>
      </c>
      <c r="K147">
        <v>238</v>
      </c>
      <c r="L147" t="s">
        <v>23</v>
      </c>
      <c r="M147" t="s">
        <v>24</v>
      </c>
      <c r="N147">
        <v>0.70387596899224802</v>
      </c>
      <c r="O147" t="str">
        <f>IF(Posts[[#This Row],[Campaign_Name]] = "Not Available", "before campaign", "after campaign")</f>
        <v>after campaign</v>
      </c>
    </row>
    <row r="148" spans="1:15" x14ac:dyDescent="0.3">
      <c r="A148" t="s">
        <v>129</v>
      </c>
      <c r="B148" t="s">
        <v>15</v>
      </c>
      <c r="C148" s="1">
        <v>45603</v>
      </c>
      <c r="D148" t="s">
        <v>38</v>
      </c>
      <c r="E148" t="s">
        <v>51</v>
      </c>
      <c r="F148">
        <v>2647</v>
      </c>
      <c r="G148">
        <v>304</v>
      </c>
      <c r="H148">
        <v>170</v>
      </c>
      <c r="I148">
        <v>18529</v>
      </c>
      <c r="J148">
        <v>17841</v>
      </c>
      <c r="K148">
        <v>46</v>
      </c>
      <c r="L148" t="s">
        <v>32</v>
      </c>
      <c r="M148" t="s">
        <v>36</v>
      </c>
      <c r="N148">
        <v>0.16843866371633656</v>
      </c>
      <c r="O148" t="str">
        <f>IF(Posts[[#This Row],[Campaign_Name]] = "Not Available", "before campaign", "after campaign")</f>
        <v>after campaign</v>
      </c>
    </row>
    <row r="149" spans="1:15" x14ac:dyDescent="0.3">
      <c r="A149" t="s">
        <v>274</v>
      </c>
      <c r="B149" t="s">
        <v>26</v>
      </c>
      <c r="C149" s="1">
        <v>45603</v>
      </c>
      <c r="D149" t="s">
        <v>16</v>
      </c>
      <c r="E149" t="s">
        <v>27</v>
      </c>
      <c r="F149">
        <v>1121</v>
      </c>
      <c r="G149">
        <v>135</v>
      </c>
      <c r="H149">
        <v>18</v>
      </c>
      <c r="I149">
        <v>15694</v>
      </c>
      <c r="J149">
        <v>14957</v>
      </c>
      <c r="K149">
        <v>99</v>
      </c>
      <c r="L149" t="s">
        <v>23</v>
      </c>
      <c r="M149" t="s">
        <v>24</v>
      </c>
      <c r="N149">
        <v>8.1177520071364848E-2</v>
      </c>
      <c r="O149" t="str">
        <f>IF(Posts[[#This Row],[Campaign_Name]] = "Not Available", "before campaign", "after campaign")</f>
        <v>after campaign</v>
      </c>
    </row>
    <row r="150" spans="1:15" x14ac:dyDescent="0.3">
      <c r="A150" t="s">
        <v>320</v>
      </c>
      <c r="B150" t="s">
        <v>15</v>
      </c>
      <c r="C150" s="1">
        <v>45604</v>
      </c>
      <c r="D150" t="s">
        <v>67</v>
      </c>
      <c r="E150" t="s">
        <v>68</v>
      </c>
      <c r="F150">
        <v>3182</v>
      </c>
      <c r="G150">
        <v>559</v>
      </c>
      <c r="H150">
        <v>160</v>
      </c>
      <c r="I150">
        <v>57276</v>
      </c>
      <c r="J150">
        <v>56890</v>
      </c>
      <c r="K150">
        <v>163</v>
      </c>
      <c r="L150" t="s">
        <v>32</v>
      </c>
      <c r="M150" t="s">
        <v>24</v>
      </c>
      <c r="N150">
        <v>6.8108806480899509E-2</v>
      </c>
      <c r="O150" t="str">
        <f>IF(Posts[[#This Row],[Campaign_Name]] = "Not Available", "before campaign", "after campaign")</f>
        <v>after campaign</v>
      </c>
    </row>
    <row r="151" spans="1:15" x14ac:dyDescent="0.3">
      <c r="A151" t="s">
        <v>295</v>
      </c>
      <c r="B151" t="s">
        <v>48</v>
      </c>
      <c r="C151" s="1">
        <v>45608</v>
      </c>
      <c r="D151" t="s">
        <v>67</v>
      </c>
      <c r="E151" t="s">
        <v>76</v>
      </c>
      <c r="F151">
        <v>2418</v>
      </c>
      <c r="G151">
        <v>754</v>
      </c>
      <c r="H151">
        <v>54</v>
      </c>
      <c r="I151">
        <v>43524</v>
      </c>
      <c r="J151">
        <v>42743</v>
      </c>
      <c r="K151">
        <v>182</v>
      </c>
      <c r="L151" t="s">
        <v>18</v>
      </c>
      <c r="M151" t="s">
        <v>46</v>
      </c>
      <c r="N151">
        <v>7.412002573292896E-2</v>
      </c>
      <c r="O151" t="str">
        <f>IF(Posts[[#This Row],[Campaign_Name]] = "Not Available", "before campaign", "after campaign")</f>
        <v>after campaign</v>
      </c>
    </row>
    <row r="152" spans="1:15" x14ac:dyDescent="0.3">
      <c r="A152" t="s">
        <v>339</v>
      </c>
      <c r="B152" t="s">
        <v>26</v>
      </c>
      <c r="C152" s="1">
        <v>45608</v>
      </c>
      <c r="D152" t="s">
        <v>38</v>
      </c>
      <c r="E152" t="s">
        <v>39</v>
      </c>
      <c r="F152">
        <v>3338</v>
      </c>
      <c r="G152">
        <v>277</v>
      </c>
      <c r="H152">
        <v>118</v>
      </c>
      <c r="I152">
        <v>60084</v>
      </c>
      <c r="J152">
        <v>59842</v>
      </c>
      <c r="K152">
        <v>252</v>
      </c>
      <c r="L152" t="s">
        <v>23</v>
      </c>
      <c r="M152" t="s">
        <v>19</v>
      </c>
      <c r="N152">
        <v>6.2129685107516146E-2</v>
      </c>
      <c r="O152" t="str">
        <f>IF(Posts[[#This Row],[Campaign_Name]] = "Not Available", "before campaign", "after campaign")</f>
        <v>before campaign</v>
      </c>
    </row>
    <row r="153" spans="1:15" x14ac:dyDescent="0.3">
      <c r="A153" t="s">
        <v>173</v>
      </c>
      <c r="B153" t="s">
        <v>26</v>
      </c>
      <c r="C153" s="1">
        <v>45610</v>
      </c>
      <c r="D153" t="s">
        <v>16</v>
      </c>
      <c r="E153" t="s">
        <v>27</v>
      </c>
      <c r="F153">
        <v>4000</v>
      </c>
      <c r="G153">
        <v>689</v>
      </c>
      <c r="H153">
        <v>488</v>
      </c>
      <c r="I153">
        <v>40000</v>
      </c>
      <c r="J153">
        <v>39569</v>
      </c>
      <c r="K153">
        <v>44</v>
      </c>
      <c r="L153" t="s">
        <v>32</v>
      </c>
      <c r="M153" t="s">
        <v>46</v>
      </c>
      <c r="N153">
        <v>0.12942500000000001</v>
      </c>
      <c r="O153" t="str">
        <f>IF(Posts[[#This Row],[Campaign_Name]] = "Not Available", "before campaign", "after campaign")</f>
        <v>after campaign</v>
      </c>
    </row>
    <row r="154" spans="1:15" x14ac:dyDescent="0.3">
      <c r="A154" t="s">
        <v>184</v>
      </c>
      <c r="B154" t="s">
        <v>48</v>
      </c>
      <c r="C154" s="1">
        <v>45613</v>
      </c>
      <c r="D154" t="s">
        <v>67</v>
      </c>
      <c r="E154" t="s">
        <v>76</v>
      </c>
      <c r="F154">
        <v>880</v>
      </c>
      <c r="G154">
        <v>297</v>
      </c>
      <c r="H154">
        <v>345</v>
      </c>
      <c r="I154">
        <v>12320</v>
      </c>
      <c r="J154">
        <v>11978</v>
      </c>
      <c r="K154">
        <v>238</v>
      </c>
      <c r="L154" t="s">
        <v>23</v>
      </c>
      <c r="M154" t="s">
        <v>19</v>
      </c>
      <c r="N154">
        <v>0.12353896103896105</v>
      </c>
      <c r="O154" t="str">
        <f>IF(Posts[[#This Row],[Campaign_Name]] = "Not Available", "before campaign", "after campaign")</f>
        <v>before campaign</v>
      </c>
    </row>
    <row r="155" spans="1:15" x14ac:dyDescent="0.3">
      <c r="A155" t="s">
        <v>291</v>
      </c>
      <c r="B155" t="s">
        <v>42</v>
      </c>
      <c r="C155" s="1">
        <v>45614</v>
      </c>
      <c r="D155" t="s">
        <v>34</v>
      </c>
      <c r="E155" t="s">
        <v>43</v>
      </c>
      <c r="F155">
        <v>1171</v>
      </c>
      <c r="G155">
        <v>286</v>
      </c>
      <c r="H155">
        <v>231</v>
      </c>
      <c r="I155">
        <v>22249</v>
      </c>
      <c r="J155">
        <v>21282</v>
      </c>
      <c r="K155">
        <v>114</v>
      </c>
      <c r="L155" t="s">
        <v>18</v>
      </c>
      <c r="M155" t="s">
        <v>46</v>
      </c>
      <c r="N155">
        <v>7.5868578363072495E-2</v>
      </c>
      <c r="O155" t="str">
        <f>IF(Posts[[#This Row],[Campaign_Name]] = "Not Available", "before campaign", "after campaign")</f>
        <v>after campaign</v>
      </c>
    </row>
    <row r="156" spans="1:15" x14ac:dyDescent="0.3">
      <c r="A156" t="s">
        <v>349</v>
      </c>
      <c r="B156" t="s">
        <v>15</v>
      </c>
      <c r="C156" s="1">
        <v>45617</v>
      </c>
      <c r="D156" t="s">
        <v>34</v>
      </c>
      <c r="E156" t="s">
        <v>60</v>
      </c>
      <c r="F156">
        <v>3773</v>
      </c>
      <c r="G156">
        <v>299</v>
      </c>
      <c r="H156">
        <v>38</v>
      </c>
      <c r="I156">
        <v>71687</v>
      </c>
      <c r="J156">
        <v>71447</v>
      </c>
      <c r="K156">
        <v>286</v>
      </c>
      <c r="L156" t="s">
        <v>32</v>
      </c>
      <c r="M156" t="s">
        <v>46</v>
      </c>
      <c r="N156">
        <v>5.7332570758993957E-2</v>
      </c>
      <c r="O156" t="str">
        <f>IF(Posts[[#This Row],[Campaign_Name]] = "Not Available", "before campaign", "after campaign")</f>
        <v>after campaign</v>
      </c>
    </row>
    <row r="157" spans="1:15" x14ac:dyDescent="0.3">
      <c r="A157" t="s">
        <v>33</v>
      </c>
      <c r="B157" t="s">
        <v>26</v>
      </c>
      <c r="C157" s="1">
        <v>45618</v>
      </c>
      <c r="D157" t="s">
        <v>34</v>
      </c>
      <c r="E157" t="s">
        <v>35</v>
      </c>
      <c r="F157">
        <v>53</v>
      </c>
      <c r="G157">
        <v>81</v>
      </c>
      <c r="H157">
        <v>379</v>
      </c>
      <c r="I157">
        <v>954</v>
      </c>
      <c r="J157">
        <v>7</v>
      </c>
      <c r="K157">
        <v>148</v>
      </c>
      <c r="L157" t="s">
        <v>23</v>
      </c>
      <c r="M157" t="s">
        <v>36</v>
      </c>
      <c r="N157">
        <v>0.53773584905660377</v>
      </c>
      <c r="O157" t="str">
        <f>IF(Posts[[#This Row],[Campaign_Name]] = "Not Available", "before campaign", "after campaign")</f>
        <v>after campaign</v>
      </c>
    </row>
    <row r="158" spans="1:15" x14ac:dyDescent="0.3">
      <c r="A158" t="s">
        <v>296</v>
      </c>
      <c r="B158" t="s">
        <v>42</v>
      </c>
      <c r="C158" s="1">
        <v>45619</v>
      </c>
      <c r="D158" t="s">
        <v>38</v>
      </c>
      <c r="E158" t="s">
        <v>45</v>
      </c>
      <c r="F158">
        <v>2719</v>
      </c>
      <c r="G158">
        <v>17</v>
      </c>
      <c r="H158">
        <v>285</v>
      </c>
      <c r="I158">
        <v>40785</v>
      </c>
      <c r="J158">
        <v>40281</v>
      </c>
      <c r="K158">
        <v>40</v>
      </c>
      <c r="L158" t="s">
        <v>23</v>
      </c>
      <c r="M158" t="s">
        <v>40</v>
      </c>
      <c r="N158">
        <v>7.4071349760941527E-2</v>
      </c>
      <c r="O158" t="str">
        <f>IF(Posts[[#This Row],[Campaign_Name]] = "Not Available", "before campaign", "after campaign")</f>
        <v>after campaign</v>
      </c>
    </row>
    <row r="159" spans="1:15" x14ac:dyDescent="0.3">
      <c r="A159" t="s">
        <v>95</v>
      </c>
      <c r="B159" t="s">
        <v>48</v>
      </c>
      <c r="C159" s="1">
        <v>45621</v>
      </c>
      <c r="D159" t="s">
        <v>16</v>
      </c>
      <c r="E159" t="s">
        <v>72</v>
      </c>
      <c r="F159">
        <v>2120</v>
      </c>
      <c r="G159">
        <v>158</v>
      </c>
      <c r="H159">
        <v>488</v>
      </c>
      <c r="I159">
        <v>12720</v>
      </c>
      <c r="J159">
        <v>12085</v>
      </c>
      <c r="K159">
        <v>17</v>
      </c>
      <c r="L159" t="s">
        <v>32</v>
      </c>
      <c r="M159" t="s">
        <v>40</v>
      </c>
      <c r="N159">
        <v>0.21745283018867925</v>
      </c>
      <c r="O159" t="str">
        <f>IF(Posts[[#This Row],[Campaign_Name]] = "Not Available", "before campaign", "after campaign")</f>
        <v>after campaign</v>
      </c>
    </row>
    <row r="160" spans="1:15" x14ac:dyDescent="0.3">
      <c r="A160" t="s">
        <v>217</v>
      </c>
      <c r="B160" t="s">
        <v>48</v>
      </c>
      <c r="C160" s="1">
        <v>45621</v>
      </c>
      <c r="D160" t="s">
        <v>16</v>
      </c>
      <c r="E160" t="s">
        <v>72</v>
      </c>
      <c r="F160">
        <v>4182</v>
      </c>
      <c r="G160">
        <v>640</v>
      </c>
      <c r="H160">
        <v>240</v>
      </c>
      <c r="I160">
        <v>50184</v>
      </c>
      <c r="J160">
        <v>49351</v>
      </c>
      <c r="K160">
        <v>10</v>
      </c>
      <c r="L160" t="s">
        <v>23</v>
      </c>
      <c r="M160" t="s">
        <v>36</v>
      </c>
      <c r="N160">
        <v>0.10086880280567512</v>
      </c>
      <c r="O160" t="str">
        <f>IF(Posts[[#This Row],[Campaign_Name]] = "Not Available", "before campaign", "after campaign")</f>
        <v>after campaign</v>
      </c>
    </row>
    <row r="161" spans="1:15" x14ac:dyDescent="0.3">
      <c r="A161" t="s">
        <v>305</v>
      </c>
      <c r="B161" t="s">
        <v>48</v>
      </c>
      <c r="C161" s="1">
        <v>45621</v>
      </c>
      <c r="D161" t="s">
        <v>38</v>
      </c>
      <c r="E161" t="s">
        <v>58</v>
      </c>
      <c r="F161">
        <v>3564</v>
      </c>
      <c r="G161">
        <v>629</v>
      </c>
      <c r="H161">
        <v>177</v>
      </c>
      <c r="I161">
        <v>60588</v>
      </c>
      <c r="J161">
        <v>59627</v>
      </c>
      <c r="K161">
        <v>92</v>
      </c>
      <c r="L161" t="s">
        <v>23</v>
      </c>
      <c r="M161" t="s">
        <v>19</v>
      </c>
      <c r="N161">
        <v>7.2126493695121141E-2</v>
      </c>
      <c r="O161" t="str">
        <f>IF(Posts[[#This Row],[Campaign_Name]] = "Not Available", "before campaign", "after campaign")</f>
        <v>before campaign</v>
      </c>
    </row>
    <row r="162" spans="1:15" x14ac:dyDescent="0.3">
      <c r="A162" t="s">
        <v>205</v>
      </c>
      <c r="B162" t="s">
        <v>26</v>
      </c>
      <c r="C162" s="1">
        <v>45622</v>
      </c>
      <c r="D162" t="s">
        <v>67</v>
      </c>
      <c r="E162" t="s">
        <v>84</v>
      </c>
      <c r="F162">
        <v>4516</v>
      </c>
      <c r="G162">
        <v>836</v>
      </c>
      <c r="H162">
        <v>169</v>
      </c>
      <c r="I162">
        <v>49676</v>
      </c>
      <c r="J162">
        <v>49257</v>
      </c>
      <c r="K162">
        <v>282</v>
      </c>
      <c r="L162" t="s">
        <v>18</v>
      </c>
      <c r="M162" t="s">
        <v>24</v>
      </c>
      <c r="N162">
        <v>0.11114018842096787</v>
      </c>
      <c r="O162" t="str">
        <f>IF(Posts[[#This Row],[Campaign_Name]] = "Not Available", "before campaign", "after campaign")</f>
        <v>after campaign</v>
      </c>
    </row>
    <row r="163" spans="1:15" x14ac:dyDescent="0.3">
      <c r="A163" t="s">
        <v>224</v>
      </c>
      <c r="B163" t="s">
        <v>15</v>
      </c>
      <c r="C163" s="1">
        <v>45624</v>
      </c>
      <c r="D163" t="s">
        <v>67</v>
      </c>
      <c r="E163" t="s">
        <v>68</v>
      </c>
      <c r="F163">
        <v>4771</v>
      </c>
      <c r="G163">
        <v>818</v>
      </c>
      <c r="H163">
        <v>56</v>
      </c>
      <c r="I163">
        <v>57252</v>
      </c>
      <c r="J163">
        <v>56378</v>
      </c>
      <c r="K163">
        <v>150</v>
      </c>
      <c r="L163" t="s">
        <v>32</v>
      </c>
      <c r="M163" t="s">
        <v>19</v>
      </c>
      <c r="N163">
        <v>9.859917557465242E-2</v>
      </c>
      <c r="O163" t="str">
        <f>IF(Posts[[#This Row],[Campaign_Name]] = "Not Available", "before campaign", "after campaign")</f>
        <v>before campaign</v>
      </c>
    </row>
    <row r="164" spans="1:15" x14ac:dyDescent="0.3">
      <c r="A164" t="s">
        <v>300</v>
      </c>
      <c r="B164" t="s">
        <v>48</v>
      </c>
      <c r="C164" s="1">
        <v>45624</v>
      </c>
      <c r="D164" t="s">
        <v>34</v>
      </c>
      <c r="E164" t="s">
        <v>114</v>
      </c>
      <c r="F164">
        <v>2751</v>
      </c>
      <c r="G164">
        <v>33</v>
      </c>
      <c r="H164">
        <v>430</v>
      </c>
      <c r="I164">
        <v>44016</v>
      </c>
      <c r="J164">
        <v>43415</v>
      </c>
      <c r="K164">
        <v>129</v>
      </c>
      <c r="L164" t="s">
        <v>32</v>
      </c>
      <c r="M164" t="s">
        <v>19</v>
      </c>
      <c r="N164">
        <v>7.3018902217375503E-2</v>
      </c>
      <c r="O164" t="str">
        <f>IF(Posts[[#This Row],[Campaign_Name]] = "Not Available", "before campaign", "after campaign")</f>
        <v>before campaign</v>
      </c>
    </row>
    <row r="165" spans="1:15" x14ac:dyDescent="0.3">
      <c r="A165" t="s">
        <v>328</v>
      </c>
      <c r="B165" t="s">
        <v>48</v>
      </c>
      <c r="C165" s="1">
        <v>45624</v>
      </c>
      <c r="D165" t="s">
        <v>67</v>
      </c>
      <c r="E165" t="s">
        <v>76</v>
      </c>
      <c r="F165">
        <v>4213</v>
      </c>
      <c r="G165">
        <v>253</v>
      </c>
      <c r="H165">
        <v>434</v>
      </c>
      <c r="I165">
        <v>75834</v>
      </c>
      <c r="J165">
        <v>75437</v>
      </c>
      <c r="K165">
        <v>272</v>
      </c>
      <c r="L165" t="s">
        <v>32</v>
      </c>
      <c r="M165" t="s">
        <v>24</v>
      </c>
      <c r="N165">
        <v>6.461481657304112E-2</v>
      </c>
      <c r="O165" t="str">
        <f>IF(Posts[[#This Row],[Campaign_Name]] = "Not Available", "before campaign", "after campaign")</f>
        <v>after campaign</v>
      </c>
    </row>
    <row r="166" spans="1:15" x14ac:dyDescent="0.3">
      <c r="A166" t="s">
        <v>149</v>
      </c>
      <c r="B166" t="s">
        <v>15</v>
      </c>
      <c r="C166" s="1">
        <v>45625</v>
      </c>
      <c r="D166" t="s">
        <v>29</v>
      </c>
      <c r="E166" t="s">
        <v>30</v>
      </c>
      <c r="F166">
        <v>1176</v>
      </c>
      <c r="G166">
        <v>464</v>
      </c>
      <c r="H166">
        <v>394</v>
      </c>
      <c r="I166">
        <v>14112</v>
      </c>
      <c r="J166">
        <v>13588</v>
      </c>
      <c r="K166">
        <v>272</v>
      </c>
      <c r="L166" t="s">
        <v>18</v>
      </c>
      <c r="M166" t="s">
        <v>19</v>
      </c>
      <c r="N166">
        <v>0.1441326530612245</v>
      </c>
      <c r="O166" t="str">
        <f>IF(Posts[[#This Row],[Campaign_Name]] = "Not Available", "before campaign", "after campaign")</f>
        <v>before campaign</v>
      </c>
    </row>
    <row r="167" spans="1:15" x14ac:dyDescent="0.3">
      <c r="A167" t="s">
        <v>193</v>
      </c>
      <c r="B167" t="s">
        <v>15</v>
      </c>
      <c r="C167" s="1">
        <v>45626</v>
      </c>
      <c r="D167" t="s">
        <v>29</v>
      </c>
      <c r="E167" t="s">
        <v>30</v>
      </c>
      <c r="F167">
        <v>3775</v>
      </c>
      <c r="G167">
        <v>16</v>
      </c>
      <c r="H167">
        <v>239</v>
      </c>
      <c r="I167">
        <v>33975</v>
      </c>
      <c r="J167">
        <v>33310</v>
      </c>
      <c r="K167">
        <v>271</v>
      </c>
      <c r="L167" t="s">
        <v>32</v>
      </c>
      <c r="M167" t="s">
        <v>40</v>
      </c>
      <c r="N167">
        <v>0.11861662987490802</v>
      </c>
      <c r="O167" t="str">
        <f>IF(Posts[[#This Row],[Campaign_Name]] = "Not Available", "before campaign", "after campaign")</f>
        <v>after campaign</v>
      </c>
    </row>
    <row r="168" spans="1:15" x14ac:dyDescent="0.3">
      <c r="A168" t="s">
        <v>258</v>
      </c>
      <c r="B168" t="s">
        <v>42</v>
      </c>
      <c r="C168" s="1">
        <v>45626</v>
      </c>
      <c r="D168" t="s">
        <v>34</v>
      </c>
      <c r="E168" t="s">
        <v>43</v>
      </c>
      <c r="F168">
        <v>2509</v>
      </c>
      <c r="G168">
        <v>324</v>
      </c>
      <c r="H168">
        <v>171</v>
      </c>
      <c r="I168">
        <v>35126</v>
      </c>
      <c r="J168">
        <v>34685</v>
      </c>
      <c r="K168">
        <v>277</v>
      </c>
      <c r="L168" t="s">
        <v>23</v>
      </c>
      <c r="M168" t="s">
        <v>40</v>
      </c>
      <c r="N168">
        <v>8.5520696919660646E-2</v>
      </c>
      <c r="O168" t="str">
        <f>IF(Posts[[#This Row],[Campaign_Name]] = "Not Available", "before campaign", "after campaign")</f>
        <v>after campaign</v>
      </c>
    </row>
    <row r="169" spans="1:15" x14ac:dyDescent="0.3">
      <c r="A169" t="s">
        <v>182</v>
      </c>
      <c r="B169" t="s">
        <v>42</v>
      </c>
      <c r="C169" s="1">
        <v>45629</v>
      </c>
      <c r="D169" t="s">
        <v>29</v>
      </c>
      <c r="E169" t="s">
        <v>74</v>
      </c>
      <c r="F169">
        <v>3809</v>
      </c>
      <c r="G169">
        <v>273</v>
      </c>
      <c r="H169">
        <v>200</v>
      </c>
      <c r="I169">
        <v>34281</v>
      </c>
      <c r="J169">
        <v>33534</v>
      </c>
      <c r="K169">
        <v>83</v>
      </c>
      <c r="L169" t="s">
        <v>18</v>
      </c>
      <c r="M169" t="s">
        <v>46</v>
      </c>
      <c r="N169">
        <v>0.12490884163239112</v>
      </c>
      <c r="O169" t="str">
        <f>IF(Posts[[#This Row],[Campaign_Name]] = "Not Available", "before campaign", "after campaign")</f>
        <v>after campaign</v>
      </c>
    </row>
    <row r="170" spans="1:15" x14ac:dyDescent="0.3">
      <c r="A170" t="s">
        <v>222</v>
      </c>
      <c r="B170" t="s">
        <v>42</v>
      </c>
      <c r="C170" s="1">
        <v>45629</v>
      </c>
      <c r="D170" t="s">
        <v>16</v>
      </c>
      <c r="E170" t="s">
        <v>160</v>
      </c>
      <c r="F170">
        <v>4285</v>
      </c>
      <c r="G170">
        <v>886</v>
      </c>
      <c r="H170">
        <v>376</v>
      </c>
      <c r="I170">
        <v>55705</v>
      </c>
      <c r="J170">
        <v>55556</v>
      </c>
      <c r="K170">
        <v>51</v>
      </c>
      <c r="L170" t="s">
        <v>32</v>
      </c>
      <c r="M170" t="s">
        <v>36</v>
      </c>
      <c r="N170">
        <v>9.9578134817341346E-2</v>
      </c>
      <c r="O170" t="str">
        <f>IF(Posts[[#This Row],[Campaign_Name]] = "Not Available", "before campaign", "after campaign")</f>
        <v>after campaign</v>
      </c>
    </row>
    <row r="171" spans="1:15" x14ac:dyDescent="0.3">
      <c r="A171" t="s">
        <v>241</v>
      </c>
      <c r="B171" t="s">
        <v>42</v>
      </c>
      <c r="C171" s="1">
        <v>45629</v>
      </c>
      <c r="D171" t="s">
        <v>67</v>
      </c>
      <c r="E171" t="s">
        <v>81</v>
      </c>
      <c r="F171">
        <v>3711</v>
      </c>
      <c r="G171">
        <v>352</v>
      </c>
      <c r="H171">
        <v>290</v>
      </c>
      <c r="I171">
        <v>48243</v>
      </c>
      <c r="J171">
        <v>47579</v>
      </c>
      <c r="K171">
        <v>11</v>
      </c>
      <c r="L171" t="s">
        <v>23</v>
      </c>
      <c r="M171" t="s">
        <v>46</v>
      </c>
      <c r="N171">
        <v>9.023070704558174E-2</v>
      </c>
      <c r="O171" t="str">
        <f>IF(Posts[[#This Row],[Campaign_Name]] = "Not Available", "before campaign", "after campaign")</f>
        <v>after campaign</v>
      </c>
    </row>
    <row r="172" spans="1:15" x14ac:dyDescent="0.3">
      <c r="A172" t="s">
        <v>335</v>
      </c>
      <c r="B172" t="s">
        <v>48</v>
      </c>
      <c r="C172" s="1">
        <v>45629</v>
      </c>
      <c r="D172" t="s">
        <v>38</v>
      </c>
      <c r="E172" t="s">
        <v>58</v>
      </c>
      <c r="F172">
        <v>4606</v>
      </c>
      <c r="G172">
        <v>931</v>
      </c>
      <c r="H172">
        <v>230</v>
      </c>
      <c r="I172">
        <v>92120</v>
      </c>
      <c r="J172">
        <v>91440</v>
      </c>
      <c r="K172">
        <v>56</v>
      </c>
      <c r="L172" t="s">
        <v>23</v>
      </c>
      <c r="M172" t="s">
        <v>19</v>
      </c>
      <c r="N172">
        <v>6.2603126356925748E-2</v>
      </c>
      <c r="O172" t="str">
        <f>IF(Posts[[#This Row],[Campaign_Name]] = "Not Available", "before campaign", "after campaign")</f>
        <v>before campaign</v>
      </c>
    </row>
    <row r="173" spans="1:15" x14ac:dyDescent="0.3">
      <c r="A173" t="s">
        <v>150</v>
      </c>
      <c r="B173" t="s">
        <v>26</v>
      </c>
      <c r="C173" s="1">
        <v>45631</v>
      </c>
      <c r="D173" t="s">
        <v>29</v>
      </c>
      <c r="E173" t="s">
        <v>100</v>
      </c>
      <c r="F173">
        <v>1330</v>
      </c>
      <c r="G173">
        <v>925</v>
      </c>
      <c r="H173">
        <v>35</v>
      </c>
      <c r="I173">
        <v>15960</v>
      </c>
      <c r="J173">
        <v>15379</v>
      </c>
      <c r="K173">
        <v>229</v>
      </c>
      <c r="L173" t="s">
        <v>32</v>
      </c>
      <c r="M173" t="s">
        <v>36</v>
      </c>
      <c r="N173">
        <v>0.14348370927318296</v>
      </c>
      <c r="O173" t="str">
        <f>IF(Posts[[#This Row],[Campaign_Name]] = "Not Available", "before campaign", "after campaign")</f>
        <v>after campaign</v>
      </c>
    </row>
    <row r="174" spans="1:15" x14ac:dyDescent="0.3">
      <c r="A174" t="s">
        <v>110</v>
      </c>
      <c r="B174" t="s">
        <v>15</v>
      </c>
      <c r="C174" s="1">
        <v>45634</v>
      </c>
      <c r="D174" t="s">
        <v>16</v>
      </c>
      <c r="E174" t="s">
        <v>17</v>
      </c>
      <c r="F174">
        <v>2610</v>
      </c>
      <c r="G174">
        <v>126</v>
      </c>
      <c r="H174">
        <v>288</v>
      </c>
      <c r="I174">
        <v>15660</v>
      </c>
      <c r="J174">
        <v>15145</v>
      </c>
      <c r="K174">
        <v>73</v>
      </c>
      <c r="L174" t="s">
        <v>18</v>
      </c>
      <c r="M174" t="s">
        <v>19</v>
      </c>
      <c r="N174">
        <v>0.19310344827586207</v>
      </c>
      <c r="O174" t="str">
        <f>IF(Posts[[#This Row],[Campaign_Name]] = "Not Available", "before campaign", "after campaign")</f>
        <v>before campaign</v>
      </c>
    </row>
    <row r="175" spans="1:15" x14ac:dyDescent="0.3">
      <c r="A175" t="s">
        <v>251</v>
      </c>
      <c r="B175" t="s">
        <v>48</v>
      </c>
      <c r="C175" s="1">
        <v>45635</v>
      </c>
      <c r="D175" t="s">
        <v>38</v>
      </c>
      <c r="E175" t="s">
        <v>58</v>
      </c>
      <c r="F175">
        <v>1841</v>
      </c>
      <c r="G175">
        <v>851</v>
      </c>
      <c r="H175">
        <v>342</v>
      </c>
      <c r="I175">
        <v>34979</v>
      </c>
      <c r="J175">
        <v>34154</v>
      </c>
      <c r="K175">
        <v>255</v>
      </c>
      <c r="L175" t="s">
        <v>32</v>
      </c>
      <c r="M175" t="s">
        <v>24</v>
      </c>
      <c r="N175">
        <v>8.6737756939878216E-2</v>
      </c>
      <c r="O175" t="str">
        <f>IF(Posts[[#This Row],[Campaign_Name]] = "Not Available", "before campaign", "after campaign")</f>
        <v>after campaign</v>
      </c>
    </row>
    <row r="176" spans="1:15" x14ac:dyDescent="0.3">
      <c r="A176" t="s">
        <v>69</v>
      </c>
      <c r="B176" t="s">
        <v>15</v>
      </c>
      <c r="C176" s="1">
        <v>45637</v>
      </c>
      <c r="D176" t="s">
        <v>29</v>
      </c>
      <c r="E176" t="s">
        <v>30</v>
      </c>
      <c r="F176">
        <v>1431</v>
      </c>
      <c r="G176">
        <v>951</v>
      </c>
      <c r="H176">
        <v>26</v>
      </c>
      <c r="I176">
        <v>8586</v>
      </c>
      <c r="J176">
        <v>8396</v>
      </c>
      <c r="K176">
        <v>150</v>
      </c>
      <c r="L176" t="s">
        <v>18</v>
      </c>
      <c r="M176" t="s">
        <v>36</v>
      </c>
      <c r="N176">
        <v>0.28045655718611695</v>
      </c>
      <c r="O176" t="str">
        <f>IF(Posts[[#This Row],[Campaign_Name]] = "Not Available", "before campaign", "after campaign")</f>
        <v>after campaign</v>
      </c>
    </row>
    <row r="177" spans="1:15" x14ac:dyDescent="0.3">
      <c r="A177" t="s">
        <v>143</v>
      </c>
      <c r="B177" t="s">
        <v>26</v>
      </c>
      <c r="C177" s="1">
        <v>45637</v>
      </c>
      <c r="D177" t="s">
        <v>67</v>
      </c>
      <c r="E177" t="s">
        <v>84</v>
      </c>
      <c r="F177">
        <v>3239</v>
      </c>
      <c r="G177">
        <v>43</v>
      </c>
      <c r="H177">
        <v>211</v>
      </c>
      <c r="I177">
        <v>22673</v>
      </c>
      <c r="J177">
        <v>22171</v>
      </c>
      <c r="K177">
        <v>230</v>
      </c>
      <c r="L177" t="s">
        <v>23</v>
      </c>
      <c r="M177" t="s">
        <v>40</v>
      </c>
      <c r="N177">
        <v>0.15405989502933004</v>
      </c>
      <c r="O177" t="str">
        <f>IF(Posts[[#This Row],[Campaign_Name]] = "Not Available", "before campaign", "after campaign")</f>
        <v>after campaign</v>
      </c>
    </row>
    <row r="178" spans="1:15" x14ac:dyDescent="0.3">
      <c r="A178" t="s">
        <v>94</v>
      </c>
      <c r="B178" t="s">
        <v>15</v>
      </c>
      <c r="C178" s="1">
        <v>45640</v>
      </c>
      <c r="D178" t="s">
        <v>34</v>
      </c>
      <c r="E178" t="s">
        <v>60</v>
      </c>
      <c r="F178">
        <v>2174</v>
      </c>
      <c r="G178">
        <v>658</v>
      </c>
      <c r="H178">
        <v>15</v>
      </c>
      <c r="I178">
        <v>13044</v>
      </c>
      <c r="J178">
        <v>12206</v>
      </c>
      <c r="K178">
        <v>137</v>
      </c>
      <c r="L178" t="s">
        <v>23</v>
      </c>
      <c r="M178" t="s">
        <v>36</v>
      </c>
      <c r="N178">
        <v>0.21826126954921804</v>
      </c>
      <c r="O178" t="str">
        <f>IF(Posts[[#This Row],[Campaign_Name]] = "Not Available", "before campaign", "after campaign")</f>
        <v>after campaign</v>
      </c>
    </row>
    <row r="179" spans="1:15" x14ac:dyDescent="0.3">
      <c r="A179" t="s">
        <v>66</v>
      </c>
      <c r="B179" t="s">
        <v>15</v>
      </c>
      <c r="C179" s="1">
        <v>45642</v>
      </c>
      <c r="D179" t="s">
        <v>67</v>
      </c>
      <c r="E179" t="s">
        <v>68</v>
      </c>
      <c r="F179">
        <v>438</v>
      </c>
      <c r="G179">
        <v>153</v>
      </c>
      <c r="H179">
        <v>275</v>
      </c>
      <c r="I179">
        <v>3066</v>
      </c>
      <c r="J179">
        <v>2701</v>
      </c>
      <c r="K179">
        <v>282</v>
      </c>
      <c r="L179" t="s">
        <v>23</v>
      </c>
      <c r="M179" t="s">
        <v>40</v>
      </c>
      <c r="N179">
        <v>0.28245270711024134</v>
      </c>
      <c r="O179" t="str">
        <f>IF(Posts[[#This Row],[Campaign_Name]] = "Not Available", "before campaign", "after campaign")</f>
        <v>after campaign</v>
      </c>
    </row>
    <row r="180" spans="1:15" x14ac:dyDescent="0.3">
      <c r="A180" t="s">
        <v>65</v>
      </c>
      <c r="B180" t="s">
        <v>15</v>
      </c>
      <c r="C180" s="1">
        <v>45643</v>
      </c>
      <c r="D180" t="s">
        <v>16</v>
      </c>
      <c r="E180" t="s">
        <v>17</v>
      </c>
      <c r="F180">
        <v>360</v>
      </c>
      <c r="G180">
        <v>590</v>
      </c>
      <c r="H180">
        <v>393</v>
      </c>
      <c r="I180">
        <v>4680</v>
      </c>
      <c r="J180">
        <v>4322</v>
      </c>
      <c r="K180">
        <v>208</v>
      </c>
      <c r="L180" t="s">
        <v>32</v>
      </c>
      <c r="M180" t="s">
        <v>40</v>
      </c>
      <c r="N180">
        <v>0.28696581196581195</v>
      </c>
      <c r="O180" t="str">
        <f>IF(Posts[[#This Row],[Campaign_Name]] = "Not Available", "before campaign", "after campaign")</f>
        <v>after campaign</v>
      </c>
    </row>
    <row r="181" spans="1:15" x14ac:dyDescent="0.3">
      <c r="A181" t="s">
        <v>174</v>
      </c>
      <c r="B181" t="s">
        <v>48</v>
      </c>
      <c r="C181" s="1">
        <v>45644</v>
      </c>
      <c r="D181" t="s">
        <v>34</v>
      </c>
      <c r="E181" t="s">
        <v>114</v>
      </c>
      <c r="F181">
        <v>2946</v>
      </c>
      <c r="G181">
        <v>498</v>
      </c>
      <c r="H181">
        <v>367</v>
      </c>
      <c r="I181">
        <v>29460</v>
      </c>
      <c r="J181">
        <v>28527</v>
      </c>
      <c r="K181">
        <v>60</v>
      </c>
      <c r="L181" t="s">
        <v>32</v>
      </c>
      <c r="M181" t="s">
        <v>36</v>
      </c>
      <c r="N181">
        <v>0.12936184657162253</v>
      </c>
      <c r="O181" t="str">
        <f>IF(Posts[[#This Row],[Campaign_Name]] = "Not Available", "before campaign", "after campaign")</f>
        <v>after campaign</v>
      </c>
    </row>
    <row r="182" spans="1:15" x14ac:dyDescent="0.3">
      <c r="A182" t="s">
        <v>180</v>
      </c>
      <c r="B182" t="s">
        <v>15</v>
      </c>
      <c r="C182" s="1">
        <v>45645</v>
      </c>
      <c r="D182" t="s">
        <v>67</v>
      </c>
      <c r="E182" t="s">
        <v>68</v>
      </c>
      <c r="F182">
        <v>1813</v>
      </c>
      <c r="G182">
        <v>623</v>
      </c>
      <c r="H182">
        <v>72</v>
      </c>
      <c r="I182">
        <v>19943</v>
      </c>
      <c r="J182">
        <v>18959</v>
      </c>
      <c r="K182">
        <v>85</v>
      </c>
      <c r="L182" t="s">
        <v>18</v>
      </c>
      <c r="M182" t="s">
        <v>36</v>
      </c>
      <c r="N182">
        <v>0.12575841147269717</v>
      </c>
      <c r="O182" t="str">
        <f>IF(Posts[[#This Row],[Campaign_Name]] = "Not Available", "before campaign", "after campaign")</f>
        <v>after campaign</v>
      </c>
    </row>
    <row r="183" spans="1:15" x14ac:dyDescent="0.3">
      <c r="A183" t="s">
        <v>263</v>
      </c>
      <c r="B183" t="s">
        <v>15</v>
      </c>
      <c r="C183" s="1">
        <v>45646</v>
      </c>
      <c r="D183" t="s">
        <v>34</v>
      </c>
      <c r="E183" t="s">
        <v>60</v>
      </c>
      <c r="F183">
        <v>2107</v>
      </c>
      <c r="G183">
        <v>550</v>
      </c>
      <c r="H183">
        <v>349</v>
      </c>
      <c r="I183">
        <v>35819</v>
      </c>
      <c r="J183">
        <v>35340</v>
      </c>
      <c r="K183">
        <v>191</v>
      </c>
      <c r="L183" t="s">
        <v>18</v>
      </c>
      <c r="M183" t="s">
        <v>24</v>
      </c>
      <c r="N183">
        <v>8.3921940869371006E-2</v>
      </c>
      <c r="O183" t="str">
        <f>IF(Posts[[#This Row],[Campaign_Name]] = "Not Available", "before campaign", "after campaign")</f>
        <v>after campaign</v>
      </c>
    </row>
    <row r="184" spans="1:15" x14ac:dyDescent="0.3">
      <c r="A184" t="s">
        <v>198</v>
      </c>
      <c r="B184" t="s">
        <v>42</v>
      </c>
      <c r="C184" s="1">
        <v>45647</v>
      </c>
      <c r="D184" t="s">
        <v>38</v>
      </c>
      <c r="E184" t="s">
        <v>45</v>
      </c>
      <c r="F184">
        <v>2283</v>
      </c>
      <c r="G184">
        <v>210</v>
      </c>
      <c r="H184">
        <v>130</v>
      </c>
      <c r="I184">
        <v>22830</v>
      </c>
      <c r="J184">
        <v>22617</v>
      </c>
      <c r="K184">
        <v>143</v>
      </c>
      <c r="L184" t="s">
        <v>32</v>
      </c>
      <c r="M184" t="s">
        <v>40</v>
      </c>
      <c r="N184">
        <v>0.11489268506351293</v>
      </c>
      <c r="O184" t="str">
        <f>IF(Posts[[#This Row],[Campaign_Name]] = "Not Available", "before campaign", "after campaign")</f>
        <v>after campaign</v>
      </c>
    </row>
    <row r="185" spans="1:15" x14ac:dyDescent="0.3">
      <c r="A185" t="s">
        <v>177</v>
      </c>
      <c r="B185" t="s">
        <v>48</v>
      </c>
      <c r="C185" s="1">
        <v>45648</v>
      </c>
      <c r="D185" t="s">
        <v>38</v>
      </c>
      <c r="E185" t="s">
        <v>58</v>
      </c>
      <c r="F185">
        <v>3196</v>
      </c>
      <c r="G185">
        <v>941</v>
      </c>
      <c r="H185">
        <v>376</v>
      </c>
      <c r="I185">
        <v>35156</v>
      </c>
      <c r="J185">
        <v>34444</v>
      </c>
      <c r="K185">
        <v>241</v>
      </c>
      <c r="L185" t="s">
        <v>23</v>
      </c>
      <c r="M185" t="s">
        <v>36</v>
      </c>
      <c r="N185">
        <v>0.1283706906360223</v>
      </c>
      <c r="O185" t="str">
        <f>IF(Posts[[#This Row],[Campaign_Name]] = "Not Available", "before campaign", "after campaign")</f>
        <v>after campaign</v>
      </c>
    </row>
    <row r="186" spans="1:15" x14ac:dyDescent="0.3">
      <c r="A186" t="s">
        <v>264</v>
      </c>
      <c r="B186" t="s">
        <v>26</v>
      </c>
      <c r="C186" s="1">
        <v>45648</v>
      </c>
      <c r="D186" t="s">
        <v>21</v>
      </c>
      <c r="E186" t="s">
        <v>54</v>
      </c>
      <c r="F186">
        <v>1644</v>
      </c>
      <c r="G186">
        <v>546</v>
      </c>
      <c r="H186">
        <v>150</v>
      </c>
      <c r="I186">
        <v>27948</v>
      </c>
      <c r="J186">
        <v>27184</v>
      </c>
      <c r="K186">
        <v>300</v>
      </c>
      <c r="L186" t="s">
        <v>18</v>
      </c>
      <c r="M186" t="s">
        <v>36</v>
      </c>
      <c r="N186">
        <v>8.3726921425504502E-2</v>
      </c>
      <c r="O186" t="str">
        <f>IF(Posts[[#This Row],[Campaign_Name]] = "Not Available", "before campaign", "after campaign")</f>
        <v>after campaign</v>
      </c>
    </row>
    <row r="187" spans="1:15" x14ac:dyDescent="0.3">
      <c r="A187" t="s">
        <v>50</v>
      </c>
      <c r="B187" t="s">
        <v>15</v>
      </c>
      <c r="C187" s="1">
        <v>45649</v>
      </c>
      <c r="D187" t="s">
        <v>38</v>
      </c>
      <c r="E187" t="s">
        <v>51</v>
      </c>
      <c r="F187">
        <v>521</v>
      </c>
      <c r="G187">
        <v>746</v>
      </c>
      <c r="H187">
        <v>315</v>
      </c>
      <c r="I187">
        <v>4168</v>
      </c>
      <c r="J187">
        <v>3399</v>
      </c>
      <c r="K187">
        <v>282</v>
      </c>
      <c r="L187" t="s">
        <v>32</v>
      </c>
      <c r="M187" t="s">
        <v>40</v>
      </c>
      <c r="N187">
        <v>0.37955854126679461</v>
      </c>
      <c r="O187" t="str">
        <f>IF(Posts[[#This Row],[Campaign_Name]] = "Not Available", "before campaign", "after campaign")</f>
        <v>after campaign</v>
      </c>
    </row>
    <row r="188" spans="1:15" x14ac:dyDescent="0.3">
      <c r="A188" t="s">
        <v>239</v>
      </c>
      <c r="B188" t="s">
        <v>26</v>
      </c>
      <c r="C188" s="1">
        <v>45649</v>
      </c>
      <c r="D188" t="s">
        <v>21</v>
      </c>
      <c r="E188" t="s">
        <v>54</v>
      </c>
      <c r="F188">
        <v>1461</v>
      </c>
      <c r="G188">
        <v>184</v>
      </c>
      <c r="H188">
        <v>344</v>
      </c>
      <c r="I188">
        <v>21915</v>
      </c>
      <c r="J188">
        <v>21675</v>
      </c>
      <c r="K188">
        <v>15</v>
      </c>
      <c r="L188" t="s">
        <v>32</v>
      </c>
      <c r="M188" t="s">
        <v>46</v>
      </c>
      <c r="N188">
        <v>9.0759753593429152E-2</v>
      </c>
      <c r="O188" t="str">
        <f>IF(Posts[[#This Row],[Campaign_Name]] = "Not Available", "before campaign", "after campaign")</f>
        <v>after campaign</v>
      </c>
    </row>
    <row r="189" spans="1:15" x14ac:dyDescent="0.3">
      <c r="A189" t="s">
        <v>83</v>
      </c>
      <c r="B189" t="s">
        <v>26</v>
      </c>
      <c r="C189" s="1">
        <v>45650</v>
      </c>
      <c r="D189" t="s">
        <v>67</v>
      </c>
      <c r="E189" t="s">
        <v>84</v>
      </c>
      <c r="F189">
        <v>2166</v>
      </c>
      <c r="G189">
        <v>354</v>
      </c>
      <c r="H189">
        <v>117</v>
      </c>
      <c r="I189">
        <v>10830</v>
      </c>
      <c r="J189">
        <v>10245</v>
      </c>
      <c r="K189">
        <v>24</v>
      </c>
      <c r="L189" t="s">
        <v>18</v>
      </c>
      <c r="M189" t="s">
        <v>24</v>
      </c>
      <c r="N189">
        <v>0.24349030470914126</v>
      </c>
      <c r="O189" t="str">
        <f>IF(Posts[[#This Row],[Campaign_Name]] = "Not Available", "before campaign", "after campaign")</f>
        <v>after campaign</v>
      </c>
    </row>
    <row r="190" spans="1:15" x14ac:dyDescent="0.3">
      <c r="A190" t="s">
        <v>152</v>
      </c>
      <c r="B190" t="s">
        <v>26</v>
      </c>
      <c r="C190" s="1">
        <v>45655</v>
      </c>
      <c r="D190" t="s">
        <v>34</v>
      </c>
      <c r="E190" t="s">
        <v>35</v>
      </c>
      <c r="F190">
        <v>4274</v>
      </c>
      <c r="G190">
        <v>340</v>
      </c>
      <c r="H190">
        <v>281</v>
      </c>
      <c r="I190">
        <v>34192</v>
      </c>
      <c r="J190">
        <v>33446</v>
      </c>
      <c r="K190">
        <v>129</v>
      </c>
      <c r="L190" t="s">
        <v>23</v>
      </c>
      <c r="M190" t="s">
        <v>36</v>
      </c>
      <c r="N190">
        <v>0.14316214319138981</v>
      </c>
      <c r="O190" t="str">
        <f>IF(Posts[[#This Row],[Campaign_Name]] = "Not Available", "before campaign", "after campaign")</f>
        <v>after campaign</v>
      </c>
    </row>
    <row r="191" spans="1:15" x14ac:dyDescent="0.3">
      <c r="A191" t="s">
        <v>226</v>
      </c>
      <c r="B191" t="s">
        <v>42</v>
      </c>
      <c r="C191" s="1">
        <v>45657</v>
      </c>
      <c r="D191" t="s">
        <v>29</v>
      </c>
      <c r="E191" t="s">
        <v>74</v>
      </c>
      <c r="F191">
        <v>1018</v>
      </c>
      <c r="G191">
        <v>447</v>
      </c>
      <c r="H191">
        <v>332</v>
      </c>
      <c r="I191">
        <v>18324</v>
      </c>
      <c r="J191">
        <v>18164</v>
      </c>
      <c r="K191">
        <v>38</v>
      </c>
      <c r="L191" t="s">
        <v>32</v>
      </c>
      <c r="M191" t="s">
        <v>40</v>
      </c>
      <c r="N191">
        <v>9.8068107400130972E-2</v>
      </c>
      <c r="O191" t="str">
        <f>IF(Posts[[#This Row],[Campaign_Name]] = "Not Available", "before campaign", "after campaign")</f>
        <v>after campaign</v>
      </c>
    </row>
    <row r="192" spans="1:15" x14ac:dyDescent="0.3">
      <c r="A192" t="s">
        <v>63</v>
      </c>
      <c r="B192" t="s">
        <v>15</v>
      </c>
      <c r="C192" s="1">
        <v>45658</v>
      </c>
      <c r="D192" t="s">
        <v>34</v>
      </c>
      <c r="E192" t="s">
        <v>60</v>
      </c>
      <c r="F192">
        <v>2234</v>
      </c>
      <c r="G192">
        <v>653</v>
      </c>
      <c r="H192">
        <v>432</v>
      </c>
      <c r="I192">
        <v>11170</v>
      </c>
      <c r="J192">
        <v>10569</v>
      </c>
      <c r="K192">
        <v>198</v>
      </c>
      <c r="L192" t="s">
        <v>32</v>
      </c>
      <c r="M192" t="s">
        <v>36</v>
      </c>
      <c r="N192">
        <v>0.29713518352730528</v>
      </c>
      <c r="O192" t="str">
        <f>IF(Posts[[#This Row],[Campaign_Name]] = "Not Available", "before campaign", "after campaign")</f>
        <v>after campaign</v>
      </c>
    </row>
    <row r="193" spans="1:15" x14ac:dyDescent="0.3">
      <c r="A193" t="s">
        <v>121</v>
      </c>
      <c r="B193" t="s">
        <v>26</v>
      </c>
      <c r="C193" s="1">
        <v>45658</v>
      </c>
      <c r="D193" t="s">
        <v>29</v>
      </c>
      <c r="E193" t="s">
        <v>100</v>
      </c>
      <c r="F193">
        <v>754</v>
      </c>
      <c r="G193">
        <v>197</v>
      </c>
      <c r="H193">
        <v>257</v>
      </c>
      <c r="I193">
        <v>6786</v>
      </c>
      <c r="J193">
        <v>6221</v>
      </c>
      <c r="K193">
        <v>212</v>
      </c>
      <c r="L193" t="s">
        <v>23</v>
      </c>
      <c r="M193" t="s">
        <v>36</v>
      </c>
      <c r="N193">
        <v>0.17801355732390214</v>
      </c>
      <c r="O193" t="str">
        <f>IF(Posts[[#This Row],[Campaign_Name]] = "Not Available", "before campaign", "after campaign")</f>
        <v>after campaign</v>
      </c>
    </row>
    <row r="194" spans="1:15" x14ac:dyDescent="0.3">
      <c r="A194" t="s">
        <v>281</v>
      </c>
      <c r="B194" t="s">
        <v>26</v>
      </c>
      <c r="C194" s="1">
        <v>45658</v>
      </c>
      <c r="D194" t="s">
        <v>34</v>
      </c>
      <c r="E194" t="s">
        <v>35</v>
      </c>
      <c r="F194">
        <v>3535</v>
      </c>
      <c r="G194">
        <v>494</v>
      </c>
      <c r="H194">
        <v>152</v>
      </c>
      <c r="I194">
        <v>53025</v>
      </c>
      <c r="J194">
        <v>52791</v>
      </c>
      <c r="K194">
        <v>44</v>
      </c>
      <c r="L194" t="s">
        <v>23</v>
      </c>
      <c r="M194" t="s">
        <v>24</v>
      </c>
      <c r="N194">
        <v>7.8849599245638849E-2</v>
      </c>
      <c r="O194" t="str">
        <f>IF(Posts[[#This Row],[Campaign_Name]] = "Not Available", "before campaign", "after campaign")</f>
        <v>after campaign</v>
      </c>
    </row>
    <row r="195" spans="1:15" x14ac:dyDescent="0.3">
      <c r="A195" t="s">
        <v>141</v>
      </c>
      <c r="B195" t="s">
        <v>48</v>
      </c>
      <c r="C195" s="1">
        <v>45660</v>
      </c>
      <c r="D195" t="s">
        <v>38</v>
      </c>
      <c r="E195" t="s">
        <v>58</v>
      </c>
      <c r="F195">
        <v>947</v>
      </c>
      <c r="G195">
        <v>338</v>
      </c>
      <c r="H195">
        <v>350</v>
      </c>
      <c r="I195">
        <v>10417</v>
      </c>
      <c r="J195">
        <v>9730</v>
      </c>
      <c r="K195">
        <v>34</v>
      </c>
      <c r="L195" t="s">
        <v>23</v>
      </c>
      <c r="M195" t="s">
        <v>24</v>
      </c>
      <c r="N195">
        <v>0.1569549774407219</v>
      </c>
      <c r="O195" t="str">
        <f>IF(Posts[[#This Row],[Campaign_Name]] = "Not Available", "before campaign", "after campaign")</f>
        <v>after campaign</v>
      </c>
    </row>
    <row r="196" spans="1:15" x14ac:dyDescent="0.3">
      <c r="A196" t="s">
        <v>286</v>
      </c>
      <c r="B196" t="s">
        <v>15</v>
      </c>
      <c r="C196" s="1">
        <v>45661</v>
      </c>
      <c r="D196" t="s">
        <v>21</v>
      </c>
      <c r="E196" t="s">
        <v>22</v>
      </c>
      <c r="F196">
        <v>4838</v>
      </c>
      <c r="G196">
        <v>640</v>
      </c>
      <c r="H196">
        <v>128</v>
      </c>
      <c r="I196">
        <v>72570</v>
      </c>
      <c r="J196">
        <v>72396</v>
      </c>
      <c r="K196">
        <v>83</v>
      </c>
      <c r="L196" t="s">
        <v>32</v>
      </c>
      <c r="M196" t="s">
        <v>24</v>
      </c>
      <c r="N196">
        <v>7.7249552156538517E-2</v>
      </c>
      <c r="O196" t="str">
        <f>IF(Posts[[#This Row],[Campaign_Name]] = "Not Available", "before campaign", "after campaign")</f>
        <v>after campaign</v>
      </c>
    </row>
    <row r="197" spans="1:15" x14ac:dyDescent="0.3">
      <c r="A197" t="s">
        <v>122</v>
      </c>
      <c r="B197" t="s">
        <v>48</v>
      </c>
      <c r="C197" s="1">
        <v>45663</v>
      </c>
      <c r="D197" t="s">
        <v>34</v>
      </c>
      <c r="E197" t="s">
        <v>114</v>
      </c>
      <c r="F197">
        <v>3024</v>
      </c>
      <c r="G197">
        <v>925</v>
      </c>
      <c r="H197">
        <v>350</v>
      </c>
      <c r="I197">
        <v>24192</v>
      </c>
      <c r="J197">
        <v>23518</v>
      </c>
      <c r="K197">
        <v>36</v>
      </c>
      <c r="L197" t="s">
        <v>18</v>
      </c>
      <c r="M197" t="s">
        <v>40</v>
      </c>
      <c r="N197">
        <v>0.17770337301587302</v>
      </c>
      <c r="O197" t="str">
        <f>IF(Posts[[#This Row],[Campaign_Name]] = "Not Available", "before campaign", "after campaign")</f>
        <v>after campaign</v>
      </c>
    </row>
    <row r="198" spans="1:15" x14ac:dyDescent="0.3">
      <c r="A198" t="s">
        <v>128</v>
      </c>
      <c r="B198" t="s">
        <v>26</v>
      </c>
      <c r="C198" s="1">
        <v>45667</v>
      </c>
      <c r="D198" t="s">
        <v>38</v>
      </c>
      <c r="E198" t="s">
        <v>39</v>
      </c>
      <c r="F198">
        <v>2214</v>
      </c>
      <c r="G198">
        <v>249</v>
      </c>
      <c r="H198">
        <v>152</v>
      </c>
      <c r="I198">
        <v>15498</v>
      </c>
      <c r="J198">
        <v>14800</v>
      </c>
      <c r="K198">
        <v>180</v>
      </c>
      <c r="L198" t="s">
        <v>18</v>
      </c>
      <c r="M198" t="s">
        <v>19</v>
      </c>
      <c r="N198">
        <v>0.16873144921925409</v>
      </c>
      <c r="O198" t="str">
        <f>IF(Posts[[#This Row],[Campaign_Name]] = "Not Available", "before campaign", "after campaign")</f>
        <v>before campaign</v>
      </c>
    </row>
    <row r="199" spans="1:15" x14ac:dyDescent="0.3">
      <c r="A199" t="s">
        <v>181</v>
      </c>
      <c r="B199" t="s">
        <v>26</v>
      </c>
      <c r="C199" s="1">
        <v>45667</v>
      </c>
      <c r="D199" t="s">
        <v>38</v>
      </c>
      <c r="E199" t="s">
        <v>39</v>
      </c>
      <c r="F199">
        <v>3092</v>
      </c>
      <c r="G199">
        <v>106</v>
      </c>
      <c r="H199">
        <v>291</v>
      </c>
      <c r="I199">
        <v>27828</v>
      </c>
      <c r="J199">
        <v>27217</v>
      </c>
      <c r="K199">
        <v>102</v>
      </c>
      <c r="L199" t="s">
        <v>32</v>
      </c>
      <c r="M199" t="s">
        <v>19</v>
      </c>
      <c r="N199">
        <v>0.12537731780940059</v>
      </c>
      <c r="O199" t="str">
        <f>IF(Posts[[#This Row],[Campaign_Name]] = "Not Available", "before campaign", "after campaign")</f>
        <v>before campaign</v>
      </c>
    </row>
    <row r="200" spans="1:15" x14ac:dyDescent="0.3">
      <c r="A200" t="s">
        <v>229</v>
      </c>
      <c r="B200" t="s">
        <v>15</v>
      </c>
      <c r="C200" s="1">
        <v>45668</v>
      </c>
      <c r="D200" t="s">
        <v>34</v>
      </c>
      <c r="E200" t="s">
        <v>60</v>
      </c>
      <c r="F200">
        <v>4523</v>
      </c>
      <c r="G200">
        <v>61</v>
      </c>
      <c r="H200">
        <v>157</v>
      </c>
      <c r="I200">
        <v>49753</v>
      </c>
      <c r="J200">
        <v>49329</v>
      </c>
      <c r="K200">
        <v>71</v>
      </c>
      <c r="L200" t="s">
        <v>18</v>
      </c>
      <c r="M200" t="s">
        <v>19</v>
      </c>
      <c r="N200">
        <v>9.5290736237010829E-2</v>
      </c>
      <c r="O200" t="str">
        <f>IF(Posts[[#This Row],[Campaign_Name]] = "Not Available", "before campaign", "after campaign")</f>
        <v>before campaign</v>
      </c>
    </row>
    <row r="201" spans="1:15" x14ac:dyDescent="0.3">
      <c r="A201" t="s">
        <v>187</v>
      </c>
      <c r="B201" t="s">
        <v>48</v>
      </c>
      <c r="C201" s="1">
        <v>45669</v>
      </c>
      <c r="D201" t="s">
        <v>21</v>
      </c>
      <c r="E201" t="s">
        <v>117</v>
      </c>
      <c r="F201">
        <v>4134</v>
      </c>
      <c r="G201">
        <v>824</v>
      </c>
      <c r="H201">
        <v>99</v>
      </c>
      <c r="I201">
        <v>41340</v>
      </c>
      <c r="J201">
        <v>41050</v>
      </c>
      <c r="K201">
        <v>177</v>
      </c>
      <c r="L201" t="s">
        <v>18</v>
      </c>
      <c r="M201" t="s">
        <v>46</v>
      </c>
      <c r="N201">
        <v>0.12232704402515723</v>
      </c>
      <c r="O201" t="str">
        <f>IF(Posts[[#This Row],[Campaign_Name]] = "Not Available", "before campaign", "after campaign")</f>
        <v>after campaign</v>
      </c>
    </row>
    <row r="202" spans="1:15" x14ac:dyDescent="0.3">
      <c r="A202" t="s">
        <v>170</v>
      </c>
      <c r="B202" t="s">
        <v>26</v>
      </c>
      <c r="C202" s="1">
        <v>45671</v>
      </c>
      <c r="D202" t="s">
        <v>38</v>
      </c>
      <c r="E202" t="s">
        <v>39</v>
      </c>
      <c r="F202">
        <v>2692</v>
      </c>
      <c r="G202">
        <v>115</v>
      </c>
      <c r="H202">
        <v>64</v>
      </c>
      <c r="I202">
        <v>21536</v>
      </c>
      <c r="J202">
        <v>21120</v>
      </c>
      <c r="K202">
        <v>224</v>
      </c>
      <c r="L202" t="s">
        <v>32</v>
      </c>
      <c r="M202" t="s">
        <v>40</v>
      </c>
      <c r="N202">
        <v>0.13331166419019316</v>
      </c>
      <c r="O202" t="str">
        <f>IF(Posts[[#This Row],[Campaign_Name]] = "Not Available", "before campaign", "after campaign")</f>
        <v>after campaign</v>
      </c>
    </row>
    <row r="203" spans="1:15" x14ac:dyDescent="0.3">
      <c r="A203" t="s">
        <v>240</v>
      </c>
      <c r="B203" t="s">
        <v>26</v>
      </c>
      <c r="C203" s="1">
        <v>45672</v>
      </c>
      <c r="D203" t="s">
        <v>21</v>
      </c>
      <c r="E203" t="s">
        <v>54</v>
      </c>
      <c r="F203">
        <v>802</v>
      </c>
      <c r="G203">
        <v>262</v>
      </c>
      <c r="H203">
        <v>244</v>
      </c>
      <c r="I203">
        <v>14436</v>
      </c>
      <c r="J203">
        <v>14280</v>
      </c>
      <c r="K203">
        <v>49</v>
      </c>
      <c r="L203" t="s">
        <v>18</v>
      </c>
      <c r="M203" t="s">
        <v>46</v>
      </c>
      <c r="N203">
        <v>9.0606816292601824E-2</v>
      </c>
      <c r="O203" t="str">
        <f>IF(Posts[[#This Row],[Campaign_Name]] = "Not Available", "before campaign", "after campaign")</f>
        <v>after campaign</v>
      </c>
    </row>
    <row r="204" spans="1:15" x14ac:dyDescent="0.3">
      <c r="A204" t="s">
        <v>323</v>
      </c>
      <c r="B204" t="s">
        <v>42</v>
      </c>
      <c r="C204" s="1">
        <v>45672</v>
      </c>
      <c r="D204" t="s">
        <v>21</v>
      </c>
      <c r="E204" t="s">
        <v>93</v>
      </c>
      <c r="F204">
        <v>3774</v>
      </c>
      <c r="G204">
        <v>239</v>
      </c>
      <c r="H204">
        <v>39</v>
      </c>
      <c r="I204">
        <v>60384</v>
      </c>
      <c r="J204">
        <v>59490</v>
      </c>
      <c r="K204">
        <v>241</v>
      </c>
      <c r="L204" t="s">
        <v>23</v>
      </c>
      <c r="M204" t="s">
        <v>36</v>
      </c>
      <c r="N204">
        <v>6.7103868574456813E-2</v>
      </c>
      <c r="O204" t="str">
        <f>IF(Posts[[#This Row],[Campaign_Name]] = "Not Available", "before campaign", "after campaign")</f>
        <v>after campaign</v>
      </c>
    </row>
    <row r="205" spans="1:15" x14ac:dyDescent="0.3">
      <c r="A205" t="s">
        <v>31</v>
      </c>
      <c r="B205" t="s">
        <v>15</v>
      </c>
      <c r="C205" s="1">
        <v>45674</v>
      </c>
      <c r="D205" t="s">
        <v>21</v>
      </c>
      <c r="E205" t="s">
        <v>22</v>
      </c>
      <c r="F205">
        <v>142</v>
      </c>
      <c r="G205">
        <v>784</v>
      </c>
      <c r="H205">
        <v>183</v>
      </c>
      <c r="I205">
        <v>1704</v>
      </c>
      <c r="J205">
        <v>995</v>
      </c>
      <c r="K205">
        <v>154</v>
      </c>
      <c r="L205" t="s">
        <v>32</v>
      </c>
      <c r="M205" t="s">
        <v>24</v>
      </c>
      <c r="N205">
        <v>0.6508215962441315</v>
      </c>
      <c r="O205" t="str">
        <f>IF(Posts[[#This Row],[Campaign_Name]] = "Not Available", "before campaign", "after campaign")</f>
        <v>after campaign</v>
      </c>
    </row>
    <row r="206" spans="1:15" x14ac:dyDescent="0.3">
      <c r="A206" t="s">
        <v>123</v>
      </c>
      <c r="B206" t="s">
        <v>48</v>
      </c>
      <c r="C206" s="1">
        <v>45675</v>
      </c>
      <c r="D206" t="s">
        <v>16</v>
      </c>
      <c r="E206" t="s">
        <v>72</v>
      </c>
      <c r="F206">
        <v>4321</v>
      </c>
      <c r="G206">
        <v>874</v>
      </c>
      <c r="H206">
        <v>172</v>
      </c>
      <c r="I206">
        <v>30247</v>
      </c>
      <c r="J206">
        <v>29254</v>
      </c>
      <c r="K206">
        <v>122</v>
      </c>
      <c r="L206" t="s">
        <v>23</v>
      </c>
      <c r="M206" t="s">
        <v>24</v>
      </c>
      <c r="N206">
        <v>0.17743908486792079</v>
      </c>
      <c r="O206" t="str">
        <f>IF(Posts[[#This Row],[Campaign_Name]] = "Not Available", "before campaign", "after campaign")</f>
        <v>after campaign</v>
      </c>
    </row>
    <row r="207" spans="1:15" x14ac:dyDescent="0.3">
      <c r="A207" t="s">
        <v>145</v>
      </c>
      <c r="B207" t="s">
        <v>42</v>
      </c>
      <c r="C207" s="1">
        <v>45675</v>
      </c>
      <c r="D207" t="s">
        <v>38</v>
      </c>
      <c r="E207" t="s">
        <v>45</v>
      </c>
      <c r="F207">
        <v>1206</v>
      </c>
      <c r="G207">
        <v>238</v>
      </c>
      <c r="H207">
        <v>36</v>
      </c>
      <c r="I207">
        <v>9648</v>
      </c>
      <c r="J207">
        <v>9417</v>
      </c>
      <c r="K207">
        <v>237</v>
      </c>
      <c r="L207" t="s">
        <v>23</v>
      </c>
      <c r="M207" t="s">
        <v>19</v>
      </c>
      <c r="N207">
        <v>0.15339966832504145</v>
      </c>
      <c r="O207" t="str">
        <f>IF(Posts[[#This Row],[Campaign_Name]] = "Not Available", "before campaign", "after campaign")</f>
        <v>before campaign</v>
      </c>
    </row>
    <row r="208" spans="1:15" x14ac:dyDescent="0.3">
      <c r="A208" t="s">
        <v>307</v>
      </c>
      <c r="B208" t="s">
        <v>48</v>
      </c>
      <c r="C208" s="1">
        <v>45680</v>
      </c>
      <c r="D208" t="s">
        <v>29</v>
      </c>
      <c r="E208" t="s">
        <v>49</v>
      </c>
      <c r="F208">
        <v>3961</v>
      </c>
      <c r="G208">
        <v>761</v>
      </c>
      <c r="H208">
        <v>131</v>
      </c>
      <c r="I208">
        <v>67337</v>
      </c>
      <c r="J208">
        <v>66615</v>
      </c>
      <c r="K208">
        <v>161</v>
      </c>
      <c r="L208" t="s">
        <v>32</v>
      </c>
      <c r="M208" t="s">
        <v>36</v>
      </c>
      <c r="N208">
        <v>7.2070332803659209E-2</v>
      </c>
      <c r="O208" t="str">
        <f>IF(Posts[[#This Row],[Campaign_Name]] = "Not Available", "before campaign", "after campaign")</f>
        <v>after campaign</v>
      </c>
    </row>
    <row r="209" spans="1:15" x14ac:dyDescent="0.3">
      <c r="A209" t="s">
        <v>318</v>
      </c>
      <c r="B209" t="s">
        <v>48</v>
      </c>
      <c r="C209" s="1">
        <v>45684</v>
      </c>
      <c r="D209" t="s">
        <v>21</v>
      </c>
      <c r="E209" t="s">
        <v>117</v>
      </c>
      <c r="F209">
        <v>3452</v>
      </c>
      <c r="G209">
        <v>652</v>
      </c>
      <c r="H209">
        <v>442</v>
      </c>
      <c r="I209">
        <v>65588</v>
      </c>
      <c r="J209">
        <v>65049</v>
      </c>
      <c r="K209">
        <v>158</v>
      </c>
      <c r="L209" t="s">
        <v>32</v>
      </c>
      <c r="M209" t="s">
        <v>36</v>
      </c>
      <c r="N209">
        <v>6.9311459413307311E-2</v>
      </c>
      <c r="O209" t="str">
        <f>IF(Posts[[#This Row],[Campaign_Name]] = "Not Available", "before campaign", "after campaign")</f>
        <v>after campaign</v>
      </c>
    </row>
    <row r="210" spans="1:15" x14ac:dyDescent="0.3">
      <c r="A210" t="s">
        <v>325</v>
      </c>
      <c r="B210" t="s">
        <v>42</v>
      </c>
      <c r="C210" s="1">
        <v>45684</v>
      </c>
      <c r="D210" t="s">
        <v>67</v>
      </c>
      <c r="E210" t="s">
        <v>81</v>
      </c>
      <c r="F210">
        <v>3428</v>
      </c>
      <c r="G210">
        <v>305</v>
      </c>
      <c r="H210">
        <v>85</v>
      </c>
      <c r="I210">
        <v>58276</v>
      </c>
      <c r="J210">
        <v>58052</v>
      </c>
      <c r="K210">
        <v>242</v>
      </c>
      <c r="L210" t="s">
        <v>18</v>
      </c>
      <c r="M210" t="s">
        <v>24</v>
      </c>
      <c r="N210">
        <v>6.5515821264328367E-2</v>
      </c>
      <c r="O210" t="str">
        <f>IF(Posts[[#This Row],[Campaign_Name]] = "Not Available", "before campaign", "after campaign")</f>
        <v>after campaign</v>
      </c>
    </row>
    <row r="211" spans="1:15" x14ac:dyDescent="0.3">
      <c r="A211" t="s">
        <v>77</v>
      </c>
      <c r="B211" t="s">
        <v>26</v>
      </c>
      <c r="C211" s="1">
        <v>45685</v>
      </c>
      <c r="D211" t="s">
        <v>21</v>
      </c>
      <c r="E211" t="s">
        <v>54</v>
      </c>
      <c r="F211">
        <v>1188</v>
      </c>
      <c r="G211">
        <v>470</v>
      </c>
      <c r="H211">
        <v>174</v>
      </c>
      <c r="I211">
        <v>7128</v>
      </c>
      <c r="J211">
        <v>6145</v>
      </c>
      <c r="K211">
        <v>270</v>
      </c>
      <c r="L211" t="s">
        <v>23</v>
      </c>
      <c r="M211" t="s">
        <v>24</v>
      </c>
      <c r="N211">
        <v>0.25701459034792368</v>
      </c>
      <c r="O211" t="str">
        <f>IF(Posts[[#This Row],[Campaign_Name]] = "Not Available", "before campaign", "after campaign")</f>
        <v>after campaign</v>
      </c>
    </row>
    <row r="212" spans="1:15" x14ac:dyDescent="0.3">
      <c r="A212" t="s">
        <v>136</v>
      </c>
      <c r="B212" t="s">
        <v>15</v>
      </c>
      <c r="C212" s="1">
        <v>45685</v>
      </c>
      <c r="D212" t="s">
        <v>29</v>
      </c>
      <c r="E212" t="s">
        <v>30</v>
      </c>
      <c r="F212">
        <v>904</v>
      </c>
      <c r="G212">
        <v>973</v>
      </c>
      <c r="H212">
        <v>63</v>
      </c>
      <c r="I212">
        <v>11752</v>
      </c>
      <c r="J212">
        <v>11580</v>
      </c>
      <c r="K212">
        <v>84</v>
      </c>
      <c r="L212" t="s">
        <v>18</v>
      </c>
      <c r="M212" t="s">
        <v>36</v>
      </c>
      <c r="N212">
        <v>0.1650782845473111</v>
      </c>
      <c r="O212" t="str">
        <f>IF(Posts[[#This Row],[Campaign_Name]] = "Not Available", "before campaign", "after campaign")</f>
        <v>after campaign</v>
      </c>
    </row>
    <row r="213" spans="1:15" x14ac:dyDescent="0.3">
      <c r="A213" t="s">
        <v>37</v>
      </c>
      <c r="B213" t="s">
        <v>26</v>
      </c>
      <c r="C213" s="1">
        <v>45687</v>
      </c>
      <c r="D213" t="s">
        <v>38</v>
      </c>
      <c r="E213" t="s">
        <v>39</v>
      </c>
      <c r="F213">
        <v>59</v>
      </c>
      <c r="G213">
        <v>163</v>
      </c>
      <c r="H213">
        <v>93</v>
      </c>
      <c r="I213">
        <v>590</v>
      </c>
      <c r="J213">
        <v>475</v>
      </c>
      <c r="K213">
        <v>293</v>
      </c>
      <c r="L213" t="s">
        <v>23</v>
      </c>
      <c r="M213" t="s">
        <v>40</v>
      </c>
      <c r="N213">
        <v>0.53389830508474578</v>
      </c>
      <c r="O213" t="str">
        <f>IF(Posts[[#This Row],[Campaign_Name]] = "Not Available", "before campaign", "after campaign")</f>
        <v>after campaign</v>
      </c>
    </row>
    <row r="214" spans="1:15" x14ac:dyDescent="0.3">
      <c r="A214" t="s">
        <v>97</v>
      </c>
      <c r="B214" t="s">
        <v>15</v>
      </c>
      <c r="C214" s="1">
        <v>45688</v>
      </c>
      <c r="D214" t="s">
        <v>34</v>
      </c>
      <c r="E214" t="s">
        <v>60</v>
      </c>
      <c r="F214">
        <v>2566</v>
      </c>
      <c r="G214">
        <v>118</v>
      </c>
      <c r="H214">
        <v>37</v>
      </c>
      <c r="I214">
        <v>12830</v>
      </c>
      <c r="J214">
        <v>12264</v>
      </c>
      <c r="K214">
        <v>221</v>
      </c>
      <c r="L214" t="s">
        <v>32</v>
      </c>
      <c r="M214" t="s">
        <v>36</v>
      </c>
      <c r="N214">
        <v>0.21208106001558846</v>
      </c>
      <c r="O214" t="str">
        <f>IF(Posts[[#This Row],[Campaign_Name]] = "Not Available", "before campaign", "after campaign")</f>
        <v>after campaign</v>
      </c>
    </row>
    <row r="215" spans="1:15" x14ac:dyDescent="0.3">
      <c r="A215" t="s">
        <v>71</v>
      </c>
      <c r="B215" t="s">
        <v>48</v>
      </c>
      <c r="C215" s="1">
        <v>45690</v>
      </c>
      <c r="D215" t="s">
        <v>16</v>
      </c>
      <c r="E215" t="s">
        <v>72</v>
      </c>
      <c r="F215">
        <v>886</v>
      </c>
      <c r="G215">
        <v>126</v>
      </c>
      <c r="H215">
        <v>153</v>
      </c>
      <c r="I215">
        <v>4430</v>
      </c>
      <c r="J215">
        <v>4037</v>
      </c>
      <c r="K215">
        <v>212</v>
      </c>
      <c r="L215" t="s">
        <v>18</v>
      </c>
      <c r="M215" t="s">
        <v>19</v>
      </c>
      <c r="N215">
        <v>0.26297968397291194</v>
      </c>
      <c r="O215" t="str">
        <f>IF(Posts[[#This Row],[Campaign_Name]] = "Not Available", "before campaign", "after campaign")</f>
        <v>before campaign</v>
      </c>
    </row>
    <row r="216" spans="1:15" x14ac:dyDescent="0.3">
      <c r="A216" t="s">
        <v>196</v>
      </c>
      <c r="B216" t="s">
        <v>15</v>
      </c>
      <c r="C216" s="1">
        <v>45690</v>
      </c>
      <c r="D216" t="s">
        <v>16</v>
      </c>
      <c r="E216" t="s">
        <v>17</v>
      </c>
      <c r="F216">
        <v>1792</v>
      </c>
      <c r="G216">
        <v>614</v>
      </c>
      <c r="H216">
        <v>497</v>
      </c>
      <c r="I216">
        <v>25088</v>
      </c>
      <c r="J216">
        <v>24675</v>
      </c>
      <c r="K216">
        <v>65</v>
      </c>
      <c r="L216" t="s">
        <v>32</v>
      </c>
      <c r="M216" t="s">
        <v>24</v>
      </c>
      <c r="N216">
        <v>0.11571269132653061</v>
      </c>
      <c r="O216" t="str">
        <f>IF(Posts[[#This Row],[Campaign_Name]] = "Not Available", "before campaign", "after campaign")</f>
        <v>after campaign</v>
      </c>
    </row>
    <row r="217" spans="1:15" x14ac:dyDescent="0.3">
      <c r="A217" t="s">
        <v>256</v>
      </c>
      <c r="B217" t="s">
        <v>15</v>
      </c>
      <c r="C217" s="1">
        <v>45692</v>
      </c>
      <c r="D217" t="s">
        <v>38</v>
      </c>
      <c r="E217" t="s">
        <v>51</v>
      </c>
      <c r="F217">
        <v>4619</v>
      </c>
      <c r="G217">
        <v>821</v>
      </c>
      <c r="H217">
        <v>499</v>
      </c>
      <c r="I217">
        <v>69285</v>
      </c>
      <c r="J217">
        <v>69141</v>
      </c>
      <c r="K217">
        <v>298</v>
      </c>
      <c r="L217" t="s">
        <v>23</v>
      </c>
      <c r="M217" t="s">
        <v>24</v>
      </c>
      <c r="N217">
        <v>8.5718409468138843E-2</v>
      </c>
      <c r="O217" t="str">
        <f>IF(Posts[[#This Row],[Campaign_Name]] = "Not Available", "before campaign", "after campaign")</f>
        <v>after campaign</v>
      </c>
    </row>
    <row r="218" spans="1:15" x14ac:dyDescent="0.3">
      <c r="A218" t="s">
        <v>311</v>
      </c>
      <c r="B218" t="s">
        <v>48</v>
      </c>
      <c r="C218" s="1">
        <v>45694</v>
      </c>
      <c r="D218" t="s">
        <v>38</v>
      </c>
      <c r="E218" t="s">
        <v>58</v>
      </c>
      <c r="F218">
        <v>2072</v>
      </c>
      <c r="G218">
        <v>532</v>
      </c>
      <c r="H218">
        <v>71</v>
      </c>
      <c r="I218">
        <v>37296</v>
      </c>
      <c r="J218">
        <v>36467</v>
      </c>
      <c r="K218">
        <v>25</v>
      </c>
      <c r="L218" t="s">
        <v>23</v>
      </c>
      <c r="M218" t="s">
        <v>24</v>
      </c>
      <c r="N218">
        <v>7.172350922350923E-2</v>
      </c>
      <c r="O218" t="str">
        <f>IF(Posts[[#This Row],[Campaign_Name]] = "Not Available", "before campaign", "after campaign")</f>
        <v>after campaign</v>
      </c>
    </row>
    <row r="219" spans="1:15" x14ac:dyDescent="0.3">
      <c r="A219" t="s">
        <v>61</v>
      </c>
      <c r="B219" t="s">
        <v>15</v>
      </c>
      <c r="C219" s="1">
        <v>45695</v>
      </c>
      <c r="D219" t="s">
        <v>21</v>
      </c>
      <c r="E219" t="s">
        <v>22</v>
      </c>
      <c r="F219">
        <v>1970</v>
      </c>
      <c r="G219">
        <v>675</v>
      </c>
      <c r="H219">
        <v>478</v>
      </c>
      <c r="I219">
        <v>9850</v>
      </c>
      <c r="J219">
        <v>8924</v>
      </c>
      <c r="K219">
        <v>117</v>
      </c>
      <c r="L219" t="s">
        <v>32</v>
      </c>
      <c r="M219" t="s">
        <v>19</v>
      </c>
      <c r="N219">
        <v>0.31705583756345179</v>
      </c>
      <c r="O219" t="str">
        <f>IF(Posts[[#This Row],[Campaign_Name]] = "Not Available", "before campaign", "after campaign")</f>
        <v>before campaign</v>
      </c>
    </row>
    <row r="220" spans="1:15" x14ac:dyDescent="0.3">
      <c r="A220" t="s">
        <v>75</v>
      </c>
      <c r="B220" t="s">
        <v>48</v>
      </c>
      <c r="C220" s="1">
        <v>45698</v>
      </c>
      <c r="D220" t="s">
        <v>67</v>
      </c>
      <c r="E220" t="s">
        <v>76</v>
      </c>
      <c r="F220">
        <v>562</v>
      </c>
      <c r="G220">
        <v>158</v>
      </c>
      <c r="H220">
        <v>149</v>
      </c>
      <c r="I220">
        <v>3372</v>
      </c>
      <c r="J220">
        <v>2940</v>
      </c>
      <c r="K220">
        <v>93</v>
      </c>
      <c r="L220" t="s">
        <v>23</v>
      </c>
      <c r="M220" t="s">
        <v>46</v>
      </c>
      <c r="N220">
        <v>0.25771055753262156</v>
      </c>
      <c r="O220" t="str">
        <f>IF(Posts[[#This Row],[Campaign_Name]] = "Not Available", "before campaign", "after campaign")</f>
        <v>after campaign</v>
      </c>
    </row>
    <row r="221" spans="1:15" x14ac:dyDescent="0.3">
      <c r="A221" t="s">
        <v>235</v>
      </c>
      <c r="B221" t="s">
        <v>42</v>
      </c>
      <c r="C221" s="1">
        <v>45698</v>
      </c>
      <c r="D221" t="s">
        <v>29</v>
      </c>
      <c r="E221" t="s">
        <v>74</v>
      </c>
      <c r="F221">
        <v>1766</v>
      </c>
      <c r="G221">
        <v>92</v>
      </c>
      <c r="H221">
        <v>424</v>
      </c>
      <c r="I221">
        <v>24724</v>
      </c>
      <c r="J221">
        <v>24333</v>
      </c>
      <c r="K221">
        <v>52</v>
      </c>
      <c r="L221" t="s">
        <v>18</v>
      </c>
      <c r="M221" t="s">
        <v>19</v>
      </c>
      <c r="N221">
        <v>9.2298980747451867E-2</v>
      </c>
      <c r="O221" t="str">
        <f>IF(Posts[[#This Row],[Campaign_Name]] = "Not Available", "before campaign", "after campaign")</f>
        <v>before campaign</v>
      </c>
    </row>
    <row r="222" spans="1:15" x14ac:dyDescent="0.3">
      <c r="A222" t="s">
        <v>343</v>
      </c>
      <c r="B222" t="s">
        <v>26</v>
      </c>
      <c r="C222" s="1">
        <v>45699</v>
      </c>
      <c r="D222" t="s">
        <v>29</v>
      </c>
      <c r="E222" t="s">
        <v>100</v>
      </c>
      <c r="F222">
        <v>3440</v>
      </c>
      <c r="G222">
        <v>13</v>
      </c>
      <c r="H222">
        <v>20</v>
      </c>
      <c r="I222">
        <v>58480</v>
      </c>
      <c r="J222">
        <v>58146</v>
      </c>
      <c r="K222">
        <v>210</v>
      </c>
      <c r="L222" t="s">
        <v>23</v>
      </c>
      <c r="M222" t="s">
        <v>24</v>
      </c>
      <c r="N222">
        <v>5.9387824897400819E-2</v>
      </c>
      <c r="O222" t="str">
        <f>IF(Posts[[#This Row],[Campaign_Name]] = "Not Available", "before campaign", "after campaign")</f>
        <v>after campaign</v>
      </c>
    </row>
    <row r="223" spans="1:15" x14ac:dyDescent="0.3">
      <c r="A223" t="s">
        <v>247</v>
      </c>
      <c r="B223" t="s">
        <v>15</v>
      </c>
      <c r="C223" s="1">
        <v>45700</v>
      </c>
      <c r="D223" t="s">
        <v>16</v>
      </c>
      <c r="E223" t="s">
        <v>17</v>
      </c>
      <c r="F223">
        <v>4332</v>
      </c>
      <c r="G223">
        <v>771</v>
      </c>
      <c r="H223">
        <v>219</v>
      </c>
      <c r="I223">
        <v>60648</v>
      </c>
      <c r="J223">
        <v>60397</v>
      </c>
      <c r="K223">
        <v>10</v>
      </c>
      <c r="L223" t="s">
        <v>23</v>
      </c>
      <c r="M223" t="s">
        <v>36</v>
      </c>
      <c r="N223">
        <v>8.7752275425405618E-2</v>
      </c>
      <c r="O223" t="str">
        <f>IF(Posts[[#This Row],[Campaign_Name]] = "Not Available", "before campaign", "after campaign")</f>
        <v>after campaign</v>
      </c>
    </row>
    <row r="224" spans="1:15" x14ac:dyDescent="0.3">
      <c r="A224" t="s">
        <v>148</v>
      </c>
      <c r="B224" t="s">
        <v>48</v>
      </c>
      <c r="C224" s="1">
        <v>45704</v>
      </c>
      <c r="D224" t="s">
        <v>16</v>
      </c>
      <c r="E224" t="s">
        <v>72</v>
      </c>
      <c r="F224">
        <v>4242</v>
      </c>
      <c r="G224">
        <v>555</v>
      </c>
      <c r="H224">
        <v>131</v>
      </c>
      <c r="I224">
        <v>33936</v>
      </c>
      <c r="J224">
        <v>33802</v>
      </c>
      <c r="K224">
        <v>265</v>
      </c>
      <c r="L224" t="s">
        <v>32</v>
      </c>
      <c r="M224" t="s">
        <v>19</v>
      </c>
      <c r="N224">
        <v>0.14521452145214522</v>
      </c>
      <c r="O224" t="str">
        <f>IF(Posts[[#This Row],[Campaign_Name]] = "Not Available", "before campaign", "after campaign")</f>
        <v>before campaign</v>
      </c>
    </row>
    <row r="225" spans="1:15" x14ac:dyDescent="0.3">
      <c r="A225" t="s">
        <v>151</v>
      </c>
      <c r="B225" t="s">
        <v>26</v>
      </c>
      <c r="C225" s="1">
        <v>45704</v>
      </c>
      <c r="D225" t="s">
        <v>21</v>
      </c>
      <c r="E225" t="s">
        <v>54</v>
      </c>
      <c r="F225">
        <v>1076</v>
      </c>
      <c r="G225">
        <v>313</v>
      </c>
      <c r="H225">
        <v>306</v>
      </c>
      <c r="I225">
        <v>11836</v>
      </c>
      <c r="J225">
        <v>11596</v>
      </c>
      <c r="K225">
        <v>104</v>
      </c>
      <c r="L225" t="s">
        <v>32</v>
      </c>
      <c r="M225" t="s">
        <v>46</v>
      </c>
      <c r="N225">
        <v>0.14320716458262928</v>
      </c>
      <c r="O225" t="str">
        <f>IF(Posts[[#This Row],[Campaign_Name]] = "Not Available", "before campaign", "after campaign")</f>
        <v>after campaign</v>
      </c>
    </row>
    <row r="226" spans="1:15" x14ac:dyDescent="0.3">
      <c r="A226" t="s">
        <v>179</v>
      </c>
      <c r="B226" t="s">
        <v>42</v>
      </c>
      <c r="C226" s="1">
        <v>45705</v>
      </c>
      <c r="D226" t="s">
        <v>21</v>
      </c>
      <c r="E226" t="s">
        <v>93</v>
      </c>
      <c r="F226">
        <v>3138</v>
      </c>
      <c r="G226">
        <v>123</v>
      </c>
      <c r="H226">
        <v>291</v>
      </c>
      <c r="I226">
        <v>28242</v>
      </c>
      <c r="J226">
        <v>27550</v>
      </c>
      <c r="K226">
        <v>87</v>
      </c>
      <c r="L226" t="s">
        <v>23</v>
      </c>
      <c r="M226" t="s">
        <v>24</v>
      </c>
      <c r="N226">
        <v>0.12577012959422137</v>
      </c>
      <c r="O226" t="str">
        <f>IF(Posts[[#This Row],[Campaign_Name]] = "Not Available", "before campaign", "after campaign")</f>
        <v>after campaign</v>
      </c>
    </row>
    <row r="227" spans="1:15" x14ac:dyDescent="0.3">
      <c r="A227" t="s">
        <v>44</v>
      </c>
      <c r="B227" t="s">
        <v>42</v>
      </c>
      <c r="C227" s="1">
        <v>45707</v>
      </c>
      <c r="D227" t="s">
        <v>38</v>
      </c>
      <c r="E227" t="s">
        <v>45</v>
      </c>
      <c r="F227">
        <v>257</v>
      </c>
      <c r="G227">
        <v>966</v>
      </c>
      <c r="H227">
        <v>398</v>
      </c>
      <c r="I227">
        <v>3341</v>
      </c>
      <c r="J227">
        <v>2753</v>
      </c>
      <c r="K227">
        <v>287</v>
      </c>
      <c r="L227" t="s">
        <v>32</v>
      </c>
      <c r="M227" t="s">
        <v>46</v>
      </c>
      <c r="N227">
        <v>0.48518407662376534</v>
      </c>
      <c r="O227" t="str">
        <f>IF(Posts[[#This Row],[Campaign_Name]] = "Not Available", "before campaign", "after campaign")</f>
        <v>after campaign</v>
      </c>
    </row>
    <row r="228" spans="1:15" x14ac:dyDescent="0.3">
      <c r="A228" t="s">
        <v>197</v>
      </c>
      <c r="B228" t="s">
        <v>26</v>
      </c>
      <c r="C228" s="1">
        <v>45707</v>
      </c>
      <c r="D228" t="s">
        <v>67</v>
      </c>
      <c r="E228" t="s">
        <v>84</v>
      </c>
      <c r="F228">
        <v>4671</v>
      </c>
      <c r="G228">
        <v>876</v>
      </c>
      <c r="H228">
        <v>366</v>
      </c>
      <c r="I228">
        <v>51381</v>
      </c>
      <c r="J228">
        <v>50565</v>
      </c>
      <c r="K228">
        <v>245</v>
      </c>
      <c r="L228" t="s">
        <v>23</v>
      </c>
      <c r="M228" t="s">
        <v>24</v>
      </c>
      <c r="N228">
        <v>0.11508145034156594</v>
      </c>
      <c r="O228" t="str">
        <f>IF(Posts[[#This Row],[Campaign_Name]] = "Not Available", "before campaign", "after campaign")</f>
        <v>after campaign</v>
      </c>
    </row>
    <row r="229" spans="1:15" x14ac:dyDescent="0.3">
      <c r="A229" t="s">
        <v>79</v>
      </c>
      <c r="B229" t="s">
        <v>26</v>
      </c>
      <c r="C229" s="1">
        <v>45708</v>
      </c>
      <c r="D229" t="s">
        <v>34</v>
      </c>
      <c r="E229" t="s">
        <v>35</v>
      </c>
      <c r="F229">
        <v>1877</v>
      </c>
      <c r="G229">
        <v>745</v>
      </c>
      <c r="H229">
        <v>225</v>
      </c>
      <c r="I229">
        <v>11262</v>
      </c>
      <c r="J229">
        <v>10967</v>
      </c>
      <c r="K229">
        <v>41</v>
      </c>
      <c r="L229" t="s">
        <v>18</v>
      </c>
      <c r="M229" t="s">
        <v>24</v>
      </c>
      <c r="N229">
        <v>0.25279701651571657</v>
      </c>
      <c r="O229" t="str">
        <f>IF(Posts[[#This Row],[Campaign_Name]] = "Not Available", "before campaign", "after campaign")</f>
        <v>after campaign</v>
      </c>
    </row>
    <row r="230" spans="1:15" x14ac:dyDescent="0.3">
      <c r="A230" t="s">
        <v>52</v>
      </c>
      <c r="B230" t="s">
        <v>42</v>
      </c>
      <c r="C230" s="1">
        <v>45712</v>
      </c>
      <c r="D230" t="s">
        <v>34</v>
      </c>
      <c r="E230" t="s">
        <v>43</v>
      </c>
      <c r="F230">
        <v>804</v>
      </c>
      <c r="G230">
        <v>639</v>
      </c>
      <c r="H230">
        <v>43</v>
      </c>
      <c r="I230">
        <v>4020</v>
      </c>
      <c r="J230">
        <v>3144</v>
      </c>
      <c r="K230">
        <v>11</v>
      </c>
      <c r="L230" t="s">
        <v>18</v>
      </c>
      <c r="M230" t="s">
        <v>19</v>
      </c>
      <c r="N230">
        <v>0.36965174129353234</v>
      </c>
      <c r="O230" t="str">
        <f>IF(Posts[[#This Row],[Campaign_Name]] = "Not Available", "before campaign", "after campaign")</f>
        <v>before campaign</v>
      </c>
    </row>
    <row r="231" spans="1:15" x14ac:dyDescent="0.3">
      <c r="A231" t="s">
        <v>80</v>
      </c>
      <c r="B231" t="s">
        <v>42</v>
      </c>
      <c r="C231" s="1">
        <v>45712</v>
      </c>
      <c r="D231" t="s">
        <v>67</v>
      </c>
      <c r="E231" t="s">
        <v>81</v>
      </c>
      <c r="F231">
        <v>4188</v>
      </c>
      <c r="G231">
        <v>942</v>
      </c>
      <c r="H231">
        <v>118</v>
      </c>
      <c r="I231">
        <v>20940</v>
      </c>
      <c r="J231">
        <v>20471</v>
      </c>
      <c r="K231">
        <v>102</v>
      </c>
      <c r="L231" t="s">
        <v>32</v>
      </c>
      <c r="M231" t="s">
        <v>19</v>
      </c>
      <c r="N231">
        <v>0.25062082139446035</v>
      </c>
      <c r="O231" t="str">
        <f>IF(Posts[[#This Row],[Campaign_Name]] = "Not Available", "before campaign", "after campaign")</f>
        <v>before campaign</v>
      </c>
    </row>
    <row r="232" spans="1:15" x14ac:dyDescent="0.3">
      <c r="A232" t="s">
        <v>133</v>
      </c>
      <c r="B232" t="s">
        <v>26</v>
      </c>
      <c r="C232" s="1">
        <v>45712</v>
      </c>
      <c r="D232" t="s">
        <v>34</v>
      </c>
      <c r="E232" t="s">
        <v>35</v>
      </c>
      <c r="F232">
        <v>2704</v>
      </c>
      <c r="G232">
        <v>752</v>
      </c>
      <c r="H232">
        <v>153</v>
      </c>
      <c r="I232">
        <v>21632</v>
      </c>
      <c r="J232">
        <v>20792</v>
      </c>
      <c r="K232">
        <v>127</v>
      </c>
      <c r="L232" t="s">
        <v>32</v>
      </c>
      <c r="M232" t="s">
        <v>19</v>
      </c>
      <c r="N232">
        <v>0.16683616863905326</v>
      </c>
      <c r="O232" t="str">
        <f>IF(Posts[[#This Row],[Campaign_Name]] = "Not Available", "before campaign", "after campaign")</f>
        <v>before campaign</v>
      </c>
    </row>
    <row r="233" spans="1:15" x14ac:dyDescent="0.3">
      <c r="A233" t="s">
        <v>348</v>
      </c>
      <c r="B233" t="s">
        <v>15</v>
      </c>
      <c r="C233" s="1">
        <v>45713</v>
      </c>
      <c r="D233" t="s">
        <v>29</v>
      </c>
      <c r="E233" t="s">
        <v>30</v>
      </c>
      <c r="F233">
        <v>3095</v>
      </c>
      <c r="G233">
        <v>39</v>
      </c>
      <c r="H233">
        <v>78</v>
      </c>
      <c r="I233">
        <v>55710</v>
      </c>
      <c r="J233">
        <v>54808</v>
      </c>
      <c r="K233">
        <v>93</v>
      </c>
      <c r="L233" t="s">
        <v>18</v>
      </c>
      <c r="M233" t="s">
        <v>19</v>
      </c>
      <c r="N233">
        <v>5.7655717106444085E-2</v>
      </c>
      <c r="O233" t="str">
        <f>IF(Posts[[#This Row],[Campaign_Name]] = "Not Available", "before campaign", "after campaign")</f>
        <v>before campaign</v>
      </c>
    </row>
    <row r="234" spans="1:15" x14ac:dyDescent="0.3">
      <c r="A234" t="s">
        <v>144</v>
      </c>
      <c r="B234" t="s">
        <v>42</v>
      </c>
      <c r="C234" s="1">
        <v>45715</v>
      </c>
      <c r="D234" t="s">
        <v>67</v>
      </c>
      <c r="E234" t="s">
        <v>81</v>
      </c>
      <c r="F234">
        <v>4934</v>
      </c>
      <c r="G234">
        <v>971</v>
      </c>
      <c r="H234">
        <v>156</v>
      </c>
      <c r="I234">
        <v>39472</v>
      </c>
      <c r="J234">
        <v>39025</v>
      </c>
      <c r="K234">
        <v>169</v>
      </c>
      <c r="L234" t="s">
        <v>23</v>
      </c>
      <c r="M234" t="s">
        <v>24</v>
      </c>
      <c r="N234">
        <v>0.15355188488042157</v>
      </c>
      <c r="O234" t="str">
        <f>IF(Posts[[#This Row],[Campaign_Name]] = "Not Available", "before campaign", "after campaign")</f>
        <v>after campaign</v>
      </c>
    </row>
    <row r="235" spans="1:15" x14ac:dyDescent="0.3">
      <c r="A235" t="s">
        <v>277</v>
      </c>
      <c r="B235" t="s">
        <v>48</v>
      </c>
      <c r="C235" s="1">
        <v>45715</v>
      </c>
      <c r="D235" t="s">
        <v>67</v>
      </c>
      <c r="E235" t="s">
        <v>76</v>
      </c>
      <c r="F235">
        <v>1570</v>
      </c>
      <c r="G235">
        <v>187</v>
      </c>
      <c r="H235">
        <v>260</v>
      </c>
      <c r="I235">
        <v>25120</v>
      </c>
      <c r="J235">
        <v>24613</v>
      </c>
      <c r="K235">
        <v>133</v>
      </c>
      <c r="L235" t="s">
        <v>23</v>
      </c>
      <c r="M235" t="s">
        <v>24</v>
      </c>
      <c r="N235">
        <v>8.0294585987261149E-2</v>
      </c>
      <c r="O235" t="str">
        <f>IF(Posts[[#This Row],[Campaign_Name]] = "Not Available", "before campaign", "after campaign")</f>
        <v>after campaign</v>
      </c>
    </row>
    <row r="236" spans="1:15" x14ac:dyDescent="0.3">
      <c r="A236" t="s">
        <v>225</v>
      </c>
      <c r="B236" t="s">
        <v>26</v>
      </c>
      <c r="C236" s="1">
        <v>45718</v>
      </c>
      <c r="D236" t="s">
        <v>38</v>
      </c>
      <c r="E236" t="s">
        <v>39</v>
      </c>
      <c r="F236">
        <v>2358</v>
      </c>
      <c r="G236">
        <v>784</v>
      </c>
      <c r="H236">
        <v>344</v>
      </c>
      <c r="I236">
        <v>35370</v>
      </c>
      <c r="J236">
        <v>34475</v>
      </c>
      <c r="K236">
        <v>216</v>
      </c>
      <c r="L236" t="s">
        <v>23</v>
      </c>
      <c r="M236" t="s">
        <v>19</v>
      </c>
      <c r="N236">
        <v>9.8558100084817649E-2</v>
      </c>
      <c r="O236" t="str">
        <f>IF(Posts[[#This Row],[Campaign_Name]] = "Not Available", "before campaign", "after campaign")</f>
        <v>before campaign</v>
      </c>
    </row>
    <row r="237" spans="1:15" x14ac:dyDescent="0.3">
      <c r="A237" t="s">
        <v>185</v>
      </c>
      <c r="B237" t="s">
        <v>42</v>
      </c>
      <c r="C237" s="1">
        <v>45719</v>
      </c>
      <c r="D237" t="s">
        <v>29</v>
      </c>
      <c r="E237" t="s">
        <v>74</v>
      </c>
      <c r="F237">
        <v>3874</v>
      </c>
      <c r="G237">
        <v>884</v>
      </c>
      <c r="H237">
        <v>19</v>
      </c>
      <c r="I237">
        <v>38740</v>
      </c>
      <c r="J237">
        <v>38552</v>
      </c>
      <c r="K237">
        <v>219</v>
      </c>
      <c r="L237" t="s">
        <v>23</v>
      </c>
      <c r="M237" t="s">
        <v>40</v>
      </c>
      <c r="N237">
        <v>0.123309241094476</v>
      </c>
      <c r="O237" t="str">
        <f>IF(Posts[[#This Row],[Campaign_Name]] = "Not Available", "before campaign", "after campaign")</f>
        <v>after campaign</v>
      </c>
    </row>
    <row r="238" spans="1:15" x14ac:dyDescent="0.3">
      <c r="A238" t="s">
        <v>245</v>
      </c>
      <c r="B238" t="s">
        <v>42</v>
      </c>
      <c r="C238" s="1">
        <v>45719</v>
      </c>
      <c r="D238" t="s">
        <v>21</v>
      </c>
      <c r="E238" t="s">
        <v>93</v>
      </c>
      <c r="F238">
        <v>296</v>
      </c>
      <c r="G238">
        <v>60</v>
      </c>
      <c r="H238">
        <v>141</v>
      </c>
      <c r="I238">
        <v>5624</v>
      </c>
      <c r="J238">
        <v>5239</v>
      </c>
      <c r="K238">
        <v>88</v>
      </c>
      <c r="L238" t="s">
        <v>18</v>
      </c>
      <c r="M238" t="s">
        <v>40</v>
      </c>
      <c r="N238">
        <v>8.837126600284495E-2</v>
      </c>
      <c r="O238" t="str">
        <f>IF(Posts[[#This Row],[Campaign_Name]] = "Not Available", "before campaign", "after campaign")</f>
        <v>after campaign</v>
      </c>
    </row>
    <row r="239" spans="1:15" x14ac:dyDescent="0.3">
      <c r="A239" t="s">
        <v>102</v>
      </c>
      <c r="B239" t="s">
        <v>48</v>
      </c>
      <c r="C239" s="1">
        <v>45720</v>
      </c>
      <c r="D239" t="s">
        <v>16</v>
      </c>
      <c r="E239" t="s">
        <v>72</v>
      </c>
      <c r="F239">
        <v>1249</v>
      </c>
      <c r="G239">
        <v>116</v>
      </c>
      <c r="H239">
        <v>420</v>
      </c>
      <c r="I239">
        <v>8743</v>
      </c>
      <c r="J239">
        <v>8538</v>
      </c>
      <c r="K239">
        <v>63</v>
      </c>
      <c r="L239" t="s">
        <v>23</v>
      </c>
      <c r="M239" t="s">
        <v>19</v>
      </c>
      <c r="N239">
        <v>0.20416333066453163</v>
      </c>
      <c r="O239" t="str">
        <f>IF(Posts[[#This Row],[Campaign_Name]] = "Not Available", "before campaign", "after campaign")</f>
        <v>before campaign</v>
      </c>
    </row>
    <row r="240" spans="1:15" x14ac:dyDescent="0.3">
      <c r="A240" t="s">
        <v>126</v>
      </c>
      <c r="B240" t="s">
        <v>15</v>
      </c>
      <c r="C240" s="1">
        <v>45720</v>
      </c>
      <c r="D240" t="s">
        <v>29</v>
      </c>
      <c r="E240" t="s">
        <v>30</v>
      </c>
      <c r="F240">
        <v>432</v>
      </c>
      <c r="G240">
        <v>624</v>
      </c>
      <c r="H240">
        <v>123</v>
      </c>
      <c r="I240">
        <v>6912</v>
      </c>
      <c r="J240">
        <v>6259</v>
      </c>
      <c r="K240">
        <v>79</v>
      </c>
      <c r="L240" t="s">
        <v>32</v>
      </c>
      <c r="M240" t="s">
        <v>24</v>
      </c>
      <c r="N240">
        <v>0.17057291666666666</v>
      </c>
      <c r="O240" t="str">
        <f>IF(Posts[[#This Row],[Campaign_Name]] = "Not Available", "before campaign", "after campaign")</f>
        <v>after campaign</v>
      </c>
    </row>
    <row r="241" spans="1:15" x14ac:dyDescent="0.3">
      <c r="A241" t="s">
        <v>167</v>
      </c>
      <c r="B241" t="s">
        <v>15</v>
      </c>
      <c r="C241" s="1">
        <v>45720</v>
      </c>
      <c r="D241" t="s">
        <v>16</v>
      </c>
      <c r="E241" t="s">
        <v>17</v>
      </c>
      <c r="F241">
        <v>1947</v>
      </c>
      <c r="G241">
        <v>842</v>
      </c>
      <c r="H241">
        <v>101</v>
      </c>
      <c r="I241">
        <v>21417</v>
      </c>
      <c r="J241">
        <v>20967</v>
      </c>
      <c r="K241">
        <v>186</v>
      </c>
      <c r="L241" t="s">
        <v>32</v>
      </c>
      <c r="M241" t="s">
        <v>40</v>
      </c>
      <c r="N241">
        <v>0.13493953401503478</v>
      </c>
      <c r="O241" t="str">
        <f>IF(Posts[[#This Row],[Campaign_Name]] = "Not Available", "before campaign", "after campaign")</f>
        <v>after campaign</v>
      </c>
    </row>
    <row r="242" spans="1:15" x14ac:dyDescent="0.3">
      <c r="A242" t="s">
        <v>92</v>
      </c>
      <c r="B242" t="s">
        <v>42</v>
      </c>
      <c r="C242" s="1">
        <v>45721</v>
      </c>
      <c r="D242" t="s">
        <v>21</v>
      </c>
      <c r="E242" t="s">
        <v>93</v>
      </c>
      <c r="F242">
        <v>1543</v>
      </c>
      <c r="G242">
        <v>820</v>
      </c>
      <c r="H242">
        <v>333</v>
      </c>
      <c r="I242">
        <v>12344</v>
      </c>
      <c r="J242">
        <v>11496</v>
      </c>
      <c r="K242">
        <v>241</v>
      </c>
      <c r="L242" t="s">
        <v>18</v>
      </c>
      <c r="M242" t="s">
        <v>19</v>
      </c>
      <c r="N242">
        <v>0.21840570317563188</v>
      </c>
      <c r="O242" t="str">
        <f>IF(Posts[[#This Row],[Campaign_Name]] = "Not Available", "before campaign", "after campaign")</f>
        <v>before campaign</v>
      </c>
    </row>
    <row r="243" spans="1:15" x14ac:dyDescent="0.3">
      <c r="A243" t="s">
        <v>228</v>
      </c>
      <c r="B243" t="s">
        <v>26</v>
      </c>
      <c r="C243" s="1">
        <v>45722</v>
      </c>
      <c r="D243" t="s">
        <v>38</v>
      </c>
      <c r="E243" t="s">
        <v>39</v>
      </c>
      <c r="F243">
        <v>3592</v>
      </c>
      <c r="G243">
        <v>911</v>
      </c>
      <c r="H243">
        <v>375</v>
      </c>
      <c r="I243">
        <v>50288</v>
      </c>
      <c r="J243">
        <v>49490</v>
      </c>
      <c r="K243">
        <v>32</v>
      </c>
      <c r="L243" t="s">
        <v>32</v>
      </c>
      <c r="M243" t="s">
        <v>24</v>
      </c>
      <c r="N243">
        <v>9.7001272669424113E-2</v>
      </c>
      <c r="O243" t="str">
        <f>IF(Posts[[#This Row],[Campaign_Name]] = "Not Available", "before campaign", "after campaign")</f>
        <v>after campaign</v>
      </c>
    </row>
    <row r="244" spans="1:15" x14ac:dyDescent="0.3">
      <c r="A244" t="s">
        <v>156</v>
      </c>
      <c r="B244" t="s">
        <v>26</v>
      </c>
      <c r="C244" s="1">
        <v>45723</v>
      </c>
      <c r="D244" t="s">
        <v>38</v>
      </c>
      <c r="E244" t="s">
        <v>39</v>
      </c>
      <c r="F244">
        <v>4750</v>
      </c>
      <c r="G244">
        <v>151</v>
      </c>
      <c r="H244">
        <v>415</v>
      </c>
      <c r="I244">
        <v>38000</v>
      </c>
      <c r="J244">
        <v>37792</v>
      </c>
      <c r="K244">
        <v>299</v>
      </c>
      <c r="L244" t="s">
        <v>18</v>
      </c>
      <c r="M244" t="s">
        <v>24</v>
      </c>
      <c r="N244">
        <v>0.13989473684210527</v>
      </c>
      <c r="O244" t="str">
        <f>IF(Posts[[#This Row],[Campaign_Name]] = "Not Available", "before campaign", "after campaign")</f>
        <v>after campaign</v>
      </c>
    </row>
    <row r="245" spans="1:15" x14ac:dyDescent="0.3">
      <c r="A245" t="s">
        <v>118</v>
      </c>
      <c r="B245" t="s">
        <v>15</v>
      </c>
      <c r="C245" s="1">
        <v>45724</v>
      </c>
      <c r="D245" t="s">
        <v>21</v>
      </c>
      <c r="E245" t="s">
        <v>22</v>
      </c>
      <c r="F245">
        <v>456</v>
      </c>
      <c r="G245">
        <v>629</v>
      </c>
      <c r="H245">
        <v>428</v>
      </c>
      <c r="I245">
        <v>8208</v>
      </c>
      <c r="J245">
        <v>7377</v>
      </c>
      <c r="K245">
        <v>205</v>
      </c>
      <c r="L245" t="s">
        <v>32</v>
      </c>
      <c r="M245" t="s">
        <v>24</v>
      </c>
      <c r="N245">
        <v>0.18433235867446393</v>
      </c>
      <c r="O245" t="str">
        <f>IF(Posts[[#This Row],[Campaign_Name]] = "Not Available", "before campaign", "after campaign")</f>
        <v>after campaign</v>
      </c>
    </row>
    <row r="246" spans="1:15" x14ac:dyDescent="0.3">
      <c r="A246" t="s">
        <v>233</v>
      </c>
      <c r="B246" t="s">
        <v>26</v>
      </c>
      <c r="C246" s="1">
        <v>45724</v>
      </c>
      <c r="D246" t="s">
        <v>67</v>
      </c>
      <c r="E246" t="s">
        <v>84</v>
      </c>
      <c r="F246">
        <v>1292</v>
      </c>
      <c r="G246">
        <v>626</v>
      </c>
      <c r="H246">
        <v>496</v>
      </c>
      <c r="I246">
        <v>25840</v>
      </c>
      <c r="J246">
        <v>24916</v>
      </c>
      <c r="K246">
        <v>149</v>
      </c>
      <c r="L246" t="s">
        <v>32</v>
      </c>
      <c r="M246" t="s">
        <v>36</v>
      </c>
      <c r="N246">
        <v>9.3421052631578946E-2</v>
      </c>
      <c r="O246" t="str">
        <f>IF(Posts[[#This Row],[Campaign_Name]] = "Not Available", "before campaign", "after campaign")</f>
        <v>after campaign</v>
      </c>
    </row>
    <row r="247" spans="1:15" x14ac:dyDescent="0.3">
      <c r="A247" t="s">
        <v>301</v>
      </c>
      <c r="B247" t="s">
        <v>48</v>
      </c>
      <c r="C247" s="1">
        <v>45724</v>
      </c>
      <c r="D247" t="s">
        <v>38</v>
      </c>
      <c r="E247" t="s">
        <v>58</v>
      </c>
      <c r="F247">
        <v>2382</v>
      </c>
      <c r="G247">
        <v>265</v>
      </c>
      <c r="H247">
        <v>134</v>
      </c>
      <c r="I247">
        <v>38112</v>
      </c>
      <c r="J247">
        <v>37437</v>
      </c>
      <c r="K247">
        <v>249</v>
      </c>
      <c r="L247" t="s">
        <v>32</v>
      </c>
      <c r="M247" t="s">
        <v>24</v>
      </c>
      <c r="N247">
        <v>7.2969143576826198E-2</v>
      </c>
      <c r="O247" t="str">
        <f>IF(Posts[[#This Row],[Campaign_Name]] = "Not Available", "before campaign", "after campaign")</f>
        <v>after campaign</v>
      </c>
    </row>
    <row r="248" spans="1:15" x14ac:dyDescent="0.3">
      <c r="A248" t="s">
        <v>298</v>
      </c>
      <c r="B248" t="s">
        <v>26</v>
      </c>
      <c r="C248" s="1">
        <v>45727</v>
      </c>
      <c r="D248" t="s">
        <v>16</v>
      </c>
      <c r="E248" t="s">
        <v>27</v>
      </c>
      <c r="F248">
        <v>1950</v>
      </c>
      <c r="G248">
        <v>295</v>
      </c>
      <c r="H248">
        <v>478</v>
      </c>
      <c r="I248">
        <v>37050</v>
      </c>
      <c r="J248">
        <v>36272</v>
      </c>
      <c r="K248">
        <v>119</v>
      </c>
      <c r="L248" t="s">
        <v>23</v>
      </c>
      <c r="M248" t="s">
        <v>19</v>
      </c>
      <c r="N248">
        <v>7.349527665317139E-2</v>
      </c>
      <c r="O248" t="str">
        <f>IF(Posts[[#This Row],[Campaign_Name]] = "Not Available", "before campaign", "after campaign")</f>
        <v>before campaign</v>
      </c>
    </row>
    <row r="249" spans="1:15" x14ac:dyDescent="0.3">
      <c r="A249" t="s">
        <v>309</v>
      </c>
      <c r="B249" t="s">
        <v>48</v>
      </c>
      <c r="C249" s="1">
        <v>45727</v>
      </c>
      <c r="D249" t="s">
        <v>38</v>
      </c>
      <c r="E249" t="s">
        <v>58</v>
      </c>
      <c r="F249">
        <v>4241</v>
      </c>
      <c r="G249">
        <v>902</v>
      </c>
      <c r="H249">
        <v>47</v>
      </c>
      <c r="I249">
        <v>72097</v>
      </c>
      <c r="J249">
        <v>71598</v>
      </c>
      <c r="K249">
        <v>167</v>
      </c>
      <c r="L249" t="s">
        <v>23</v>
      </c>
      <c r="M249" t="s">
        <v>40</v>
      </c>
      <c r="N249">
        <v>7.198635172059864E-2</v>
      </c>
      <c r="O249" t="str">
        <f>IF(Posts[[#This Row],[Campaign_Name]] = "Not Available", "before campaign", "after campaign")</f>
        <v>after campaign</v>
      </c>
    </row>
    <row r="250" spans="1:15" x14ac:dyDescent="0.3">
      <c r="A250" t="s">
        <v>135</v>
      </c>
      <c r="B250" t="s">
        <v>42</v>
      </c>
      <c r="C250" s="1">
        <v>45729</v>
      </c>
      <c r="D250" t="s">
        <v>34</v>
      </c>
      <c r="E250" t="s">
        <v>43</v>
      </c>
      <c r="F250">
        <v>1686</v>
      </c>
      <c r="G250">
        <v>904</v>
      </c>
      <c r="H250">
        <v>472</v>
      </c>
      <c r="I250">
        <v>18546</v>
      </c>
      <c r="J250">
        <v>18171</v>
      </c>
      <c r="K250">
        <v>52</v>
      </c>
      <c r="L250" t="s">
        <v>32</v>
      </c>
      <c r="M250" t="s">
        <v>40</v>
      </c>
      <c r="N250">
        <v>0.16510298716704411</v>
      </c>
      <c r="O250" t="str">
        <f>IF(Posts[[#This Row],[Campaign_Name]] = "Not Available", "before campaign", "after campaign")</f>
        <v>after campaign</v>
      </c>
    </row>
    <row r="251" spans="1:15" x14ac:dyDescent="0.3">
      <c r="A251" t="s">
        <v>130</v>
      </c>
      <c r="B251" t="s">
        <v>42</v>
      </c>
      <c r="C251" s="1">
        <v>45734</v>
      </c>
      <c r="D251" t="s">
        <v>21</v>
      </c>
      <c r="E251" t="s">
        <v>93</v>
      </c>
      <c r="F251">
        <v>3704</v>
      </c>
      <c r="G251">
        <v>186</v>
      </c>
      <c r="H251">
        <v>458</v>
      </c>
      <c r="I251">
        <v>25928</v>
      </c>
      <c r="J251">
        <v>25081</v>
      </c>
      <c r="K251">
        <v>131</v>
      </c>
      <c r="L251" t="s">
        <v>23</v>
      </c>
      <c r="M251" t="s">
        <v>19</v>
      </c>
      <c r="N251">
        <v>0.16769515581610614</v>
      </c>
      <c r="O251" t="str">
        <f>IF(Posts[[#This Row],[Campaign_Name]] = "Not Available", "before campaign", "after campaign")</f>
        <v>before campaign</v>
      </c>
    </row>
    <row r="252" spans="1:15" x14ac:dyDescent="0.3">
      <c r="A252" t="s">
        <v>268</v>
      </c>
      <c r="B252" t="s">
        <v>26</v>
      </c>
      <c r="C252" s="1">
        <v>45735</v>
      </c>
      <c r="D252" t="s">
        <v>29</v>
      </c>
      <c r="E252" t="s">
        <v>100</v>
      </c>
      <c r="F252">
        <v>3160</v>
      </c>
      <c r="G252">
        <v>204</v>
      </c>
      <c r="H252">
        <v>297</v>
      </c>
      <c r="I252">
        <v>44240</v>
      </c>
      <c r="J252">
        <v>43666</v>
      </c>
      <c r="K252">
        <v>49</v>
      </c>
      <c r="L252" t="s">
        <v>32</v>
      </c>
      <c r="M252" t="s">
        <v>24</v>
      </c>
      <c r="N252">
        <v>8.2753164556962022E-2</v>
      </c>
      <c r="O252" t="str">
        <f>IF(Posts[[#This Row],[Campaign_Name]] = "Not Available", "before campaign", "after campaign")</f>
        <v>after campaign</v>
      </c>
    </row>
    <row r="253" spans="1:15" x14ac:dyDescent="0.3">
      <c r="A253" t="s">
        <v>85</v>
      </c>
      <c r="B253" t="s">
        <v>42</v>
      </c>
      <c r="C253" s="1">
        <v>45737</v>
      </c>
      <c r="D253" t="s">
        <v>38</v>
      </c>
      <c r="E253" t="s">
        <v>45</v>
      </c>
      <c r="F253">
        <v>606</v>
      </c>
      <c r="G253">
        <v>789</v>
      </c>
      <c r="H253">
        <v>470</v>
      </c>
      <c r="I253">
        <v>7878</v>
      </c>
      <c r="J253">
        <v>7389</v>
      </c>
      <c r="K253">
        <v>239</v>
      </c>
      <c r="L253" t="s">
        <v>18</v>
      </c>
      <c r="M253" t="s">
        <v>36</v>
      </c>
      <c r="N253">
        <v>0.23673521198273673</v>
      </c>
      <c r="O253" t="str">
        <f>IF(Posts[[#This Row],[Campaign_Name]] = "Not Available", "before campaign", "after campaign")</f>
        <v>after campaign</v>
      </c>
    </row>
    <row r="254" spans="1:15" x14ac:dyDescent="0.3">
      <c r="A254" t="s">
        <v>334</v>
      </c>
      <c r="B254" t="s">
        <v>42</v>
      </c>
      <c r="C254" s="1">
        <v>45738</v>
      </c>
      <c r="D254" t="s">
        <v>38</v>
      </c>
      <c r="E254" t="s">
        <v>45</v>
      </c>
      <c r="F254">
        <v>3166</v>
      </c>
      <c r="G254">
        <v>90</v>
      </c>
      <c r="H254">
        <v>341</v>
      </c>
      <c r="I254">
        <v>56988</v>
      </c>
      <c r="J254">
        <v>56125</v>
      </c>
      <c r="K254">
        <v>135</v>
      </c>
      <c r="L254" t="s">
        <v>18</v>
      </c>
      <c r="M254" t="s">
        <v>40</v>
      </c>
      <c r="N254">
        <v>6.3118551273952411E-2</v>
      </c>
      <c r="O254" t="str">
        <f>IF(Posts[[#This Row],[Campaign_Name]] = "Not Available", "before campaign", "after campaign")</f>
        <v>after campaign</v>
      </c>
    </row>
    <row r="255" spans="1:15" x14ac:dyDescent="0.3">
      <c r="A255" t="s">
        <v>139</v>
      </c>
      <c r="B255" t="s">
        <v>48</v>
      </c>
      <c r="C255" s="1">
        <v>45739</v>
      </c>
      <c r="D255" t="s">
        <v>29</v>
      </c>
      <c r="E255" t="s">
        <v>49</v>
      </c>
      <c r="F255">
        <v>4453</v>
      </c>
      <c r="G255">
        <v>111</v>
      </c>
      <c r="H255">
        <v>420</v>
      </c>
      <c r="I255">
        <v>31171</v>
      </c>
      <c r="J255">
        <v>30565</v>
      </c>
      <c r="K255">
        <v>23</v>
      </c>
      <c r="L255" t="s">
        <v>23</v>
      </c>
      <c r="M255" t="s">
        <v>19</v>
      </c>
      <c r="N255">
        <v>0.15989220750056141</v>
      </c>
      <c r="O255" t="str">
        <f>IF(Posts[[#This Row],[Campaign_Name]] = "Not Available", "before campaign", "after campaign")</f>
        <v>before campaign</v>
      </c>
    </row>
    <row r="256" spans="1:15" x14ac:dyDescent="0.3">
      <c r="A256" t="s">
        <v>159</v>
      </c>
      <c r="B256" t="s">
        <v>42</v>
      </c>
      <c r="C256" s="1">
        <v>45739</v>
      </c>
      <c r="D256" t="s">
        <v>16</v>
      </c>
      <c r="E256" t="s">
        <v>160</v>
      </c>
      <c r="F256">
        <v>3655</v>
      </c>
      <c r="G256">
        <v>568</v>
      </c>
      <c r="H256">
        <v>286</v>
      </c>
      <c r="I256">
        <v>32895</v>
      </c>
      <c r="J256">
        <v>32015</v>
      </c>
      <c r="K256">
        <v>199</v>
      </c>
      <c r="L256" t="s">
        <v>23</v>
      </c>
      <c r="M256" t="s">
        <v>36</v>
      </c>
      <c r="N256">
        <v>0.13707250341997265</v>
      </c>
      <c r="O256" t="str">
        <f>IF(Posts[[#This Row],[Campaign_Name]] = "Not Available", "before campaign", "after campaign")</f>
        <v>after campaign</v>
      </c>
    </row>
    <row r="257" spans="1:15" x14ac:dyDescent="0.3">
      <c r="A257" t="s">
        <v>280</v>
      </c>
      <c r="B257" t="s">
        <v>48</v>
      </c>
      <c r="C257" s="1">
        <v>45740</v>
      </c>
      <c r="D257" t="s">
        <v>38</v>
      </c>
      <c r="E257" t="s">
        <v>58</v>
      </c>
      <c r="F257">
        <v>1263</v>
      </c>
      <c r="G257">
        <v>397</v>
      </c>
      <c r="H257">
        <v>357</v>
      </c>
      <c r="I257">
        <v>25260</v>
      </c>
      <c r="J257">
        <v>24615</v>
      </c>
      <c r="K257">
        <v>137</v>
      </c>
      <c r="L257" t="s">
        <v>18</v>
      </c>
      <c r="M257" t="s">
        <v>24</v>
      </c>
      <c r="N257">
        <v>7.984956452889945E-2</v>
      </c>
      <c r="O257" t="str">
        <f>IF(Posts[[#This Row],[Campaign_Name]] = "Not Available", "before campaign", "after campaign")</f>
        <v>after campaign</v>
      </c>
    </row>
    <row r="258" spans="1:15" x14ac:dyDescent="0.3">
      <c r="A258" t="s">
        <v>304</v>
      </c>
      <c r="B258" t="s">
        <v>48</v>
      </c>
      <c r="C258" s="1">
        <v>45740</v>
      </c>
      <c r="D258" t="s">
        <v>21</v>
      </c>
      <c r="E258" t="s">
        <v>117</v>
      </c>
      <c r="F258">
        <v>3360</v>
      </c>
      <c r="G258">
        <v>525</v>
      </c>
      <c r="H258">
        <v>500</v>
      </c>
      <c r="I258">
        <v>60480</v>
      </c>
      <c r="J258">
        <v>59610</v>
      </c>
      <c r="K258">
        <v>192</v>
      </c>
      <c r="L258" t="s">
        <v>23</v>
      </c>
      <c r="M258" t="s">
        <v>46</v>
      </c>
      <c r="N258">
        <v>7.2503306878306875E-2</v>
      </c>
      <c r="O258" t="str">
        <f>IF(Posts[[#This Row],[Campaign_Name]] = "Not Available", "before campaign", "after campaign")</f>
        <v>after campaign</v>
      </c>
    </row>
    <row r="259" spans="1:15" x14ac:dyDescent="0.3">
      <c r="A259" t="s">
        <v>219</v>
      </c>
      <c r="B259" t="s">
        <v>26</v>
      </c>
      <c r="C259" s="1">
        <v>45741</v>
      </c>
      <c r="D259" t="s">
        <v>29</v>
      </c>
      <c r="E259" t="s">
        <v>100</v>
      </c>
      <c r="F259">
        <v>4050</v>
      </c>
      <c r="G259">
        <v>871</v>
      </c>
      <c r="H259">
        <v>347</v>
      </c>
      <c r="I259">
        <v>52650</v>
      </c>
      <c r="J259">
        <v>51755</v>
      </c>
      <c r="K259">
        <v>209</v>
      </c>
      <c r="L259" t="s">
        <v>23</v>
      </c>
      <c r="M259" t="s">
        <v>40</v>
      </c>
      <c r="N259">
        <v>0.10005698005698006</v>
      </c>
      <c r="O259" t="str">
        <f>IF(Posts[[#This Row],[Campaign_Name]] = "Not Available", "before campaign", "after campaign")</f>
        <v>after campaign</v>
      </c>
    </row>
    <row r="260" spans="1:15" x14ac:dyDescent="0.3">
      <c r="A260" t="s">
        <v>317</v>
      </c>
      <c r="B260" t="s">
        <v>42</v>
      </c>
      <c r="C260" s="1">
        <v>45741</v>
      </c>
      <c r="D260" t="s">
        <v>16</v>
      </c>
      <c r="E260" t="s">
        <v>160</v>
      </c>
      <c r="F260">
        <v>2070</v>
      </c>
      <c r="G260">
        <v>275</v>
      </c>
      <c r="H260">
        <v>386</v>
      </c>
      <c r="I260">
        <v>39330</v>
      </c>
      <c r="J260">
        <v>38627</v>
      </c>
      <c r="K260">
        <v>114</v>
      </c>
      <c r="L260" t="s">
        <v>32</v>
      </c>
      <c r="M260" t="s">
        <v>24</v>
      </c>
      <c r="N260">
        <v>6.9438087973557078E-2</v>
      </c>
      <c r="O260" t="str">
        <f>IF(Posts[[#This Row],[Campaign_Name]] = "Not Available", "before campaign", "after campaign")</f>
        <v>after campaign</v>
      </c>
    </row>
    <row r="261" spans="1:15" x14ac:dyDescent="0.3">
      <c r="A261" t="s">
        <v>315</v>
      </c>
      <c r="B261" t="s">
        <v>48</v>
      </c>
      <c r="C261" s="1">
        <v>45742</v>
      </c>
      <c r="D261" t="s">
        <v>67</v>
      </c>
      <c r="E261" t="s">
        <v>76</v>
      </c>
      <c r="F261">
        <v>1652</v>
      </c>
      <c r="G261">
        <v>89</v>
      </c>
      <c r="H261">
        <v>357</v>
      </c>
      <c r="I261">
        <v>29736</v>
      </c>
      <c r="J261">
        <v>28771</v>
      </c>
      <c r="K261">
        <v>215</v>
      </c>
      <c r="L261" t="s">
        <v>23</v>
      </c>
      <c r="M261" t="s">
        <v>36</v>
      </c>
      <c r="N261">
        <v>7.055421038471886E-2</v>
      </c>
      <c r="O261" t="str">
        <f>IF(Posts[[#This Row],[Campaign_Name]] = "Not Available", "before campaign", "after campaign")</f>
        <v>after campaign</v>
      </c>
    </row>
    <row r="262" spans="1:15" x14ac:dyDescent="0.3">
      <c r="A262" t="s">
        <v>155</v>
      </c>
      <c r="B262" t="s">
        <v>15</v>
      </c>
      <c r="C262" s="1">
        <v>45743</v>
      </c>
      <c r="D262" t="s">
        <v>67</v>
      </c>
      <c r="E262" t="s">
        <v>68</v>
      </c>
      <c r="F262">
        <v>4941</v>
      </c>
      <c r="G262">
        <v>414</v>
      </c>
      <c r="H262">
        <v>266</v>
      </c>
      <c r="I262">
        <v>39528</v>
      </c>
      <c r="J262">
        <v>39154</v>
      </c>
      <c r="K262">
        <v>217</v>
      </c>
      <c r="L262" t="s">
        <v>23</v>
      </c>
      <c r="M262" t="s">
        <v>36</v>
      </c>
      <c r="N262">
        <v>0.14220299534507186</v>
      </c>
      <c r="O262" t="str">
        <f>IF(Posts[[#This Row],[Campaign_Name]] = "Not Available", "before campaign", "after campaign")</f>
        <v>after campaign</v>
      </c>
    </row>
    <row r="263" spans="1:15" x14ac:dyDescent="0.3">
      <c r="A263" t="s">
        <v>195</v>
      </c>
      <c r="B263" t="s">
        <v>15</v>
      </c>
      <c r="C263" s="1">
        <v>45743</v>
      </c>
      <c r="D263" t="s">
        <v>34</v>
      </c>
      <c r="E263" t="s">
        <v>60</v>
      </c>
      <c r="F263">
        <v>1377</v>
      </c>
      <c r="G263">
        <v>796</v>
      </c>
      <c r="H263">
        <v>387</v>
      </c>
      <c r="I263">
        <v>22032</v>
      </c>
      <c r="J263">
        <v>21869</v>
      </c>
      <c r="K263">
        <v>189</v>
      </c>
      <c r="L263" t="s">
        <v>32</v>
      </c>
      <c r="M263" t="s">
        <v>19</v>
      </c>
      <c r="N263">
        <v>0.11619462599854757</v>
      </c>
      <c r="O263" t="str">
        <f>IF(Posts[[#This Row],[Campaign_Name]] = "Not Available", "before campaign", "after campaign")</f>
        <v>before campaign</v>
      </c>
    </row>
    <row r="264" spans="1:15" x14ac:dyDescent="0.3">
      <c r="A264" t="s">
        <v>191</v>
      </c>
      <c r="B264" t="s">
        <v>15</v>
      </c>
      <c r="C264" s="1">
        <v>45744</v>
      </c>
      <c r="D264" t="s">
        <v>16</v>
      </c>
      <c r="E264" t="s">
        <v>17</v>
      </c>
      <c r="F264">
        <v>1881</v>
      </c>
      <c r="G264">
        <v>501</v>
      </c>
      <c r="H264">
        <v>99</v>
      </c>
      <c r="I264">
        <v>20691</v>
      </c>
      <c r="J264">
        <v>19987</v>
      </c>
      <c r="K264">
        <v>289</v>
      </c>
      <c r="L264" t="s">
        <v>18</v>
      </c>
      <c r="M264" t="s">
        <v>19</v>
      </c>
      <c r="N264">
        <v>0.11990720603160794</v>
      </c>
      <c r="O264" t="str">
        <f>IF(Posts[[#This Row],[Campaign_Name]] = "Not Available", "before campaign", "after campaign")</f>
        <v>before campaign</v>
      </c>
    </row>
    <row r="265" spans="1:15" x14ac:dyDescent="0.3">
      <c r="A265" t="s">
        <v>220</v>
      </c>
      <c r="B265" t="s">
        <v>15</v>
      </c>
      <c r="C265" s="1">
        <v>45744</v>
      </c>
      <c r="D265" t="s">
        <v>34</v>
      </c>
      <c r="E265" t="s">
        <v>60</v>
      </c>
      <c r="F265">
        <v>4158</v>
      </c>
      <c r="G265">
        <v>167</v>
      </c>
      <c r="H265">
        <v>241</v>
      </c>
      <c r="I265">
        <v>45738</v>
      </c>
      <c r="J265">
        <v>45183</v>
      </c>
      <c r="K265">
        <v>142</v>
      </c>
      <c r="L265" t="s">
        <v>32</v>
      </c>
      <c r="M265" t="s">
        <v>19</v>
      </c>
      <c r="N265">
        <v>9.9829463465827106E-2</v>
      </c>
      <c r="O265" t="str">
        <f>IF(Posts[[#This Row],[Campaign_Name]] = "Not Available", "before campaign", "after campaign")</f>
        <v>before campaign</v>
      </c>
    </row>
    <row r="266" spans="1:15" x14ac:dyDescent="0.3">
      <c r="A266" t="s">
        <v>138</v>
      </c>
      <c r="B266" t="s">
        <v>26</v>
      </c>
      <c r="C266" s="1">
        <v>45745</v>
      </c>
      <c r="D266" t="s">
        <v>38</v>
      </c>
      <c r="E266" t="s">
        <v>39</v>
      </c>
      <c r="F266">
        <v>305</v>
      </c>
      <c r="G266">
        <v>187</v>
      </c>
      <c r="H266">
        <v>243</v>
      </c>
      <c r="I266">
        <v>4575</v>
      </c>
      <c r="J266">
        <v>3704</v>
      </c>
      <c r="K266">
        <v>234</v>
      </c>
      <c r="L266" t="s">
        <v>32</v>
      </c>
      <c r="M266" t="s">
        <v>36</v>
      </c>
      <c r="N266">
        <v>0.16065573770491803</v>
      </c>
      <c r="O266" t="str">
        <f>IF(Posts[[#This Row],[Campaign_Name]] = "Not Available", "before campaign", "after campaign")</f>
        <v>after campaign</v>
      </c>
    </row>
    <row r="267" spans="1:15" x14ac:dyDescent="0.3">
      <c r="A267" t="s">
        <v>332</v>
      </c>
      <c r="B267" t="s">
        <v>48</v>
      </c>
      <c r="C267" s="1">
        <v>45745</v>
      </c>
      <c r="D267" t="s">
        <v>34</v>
      </c>
      <c r="E267" t="s">
        <v>114</v>
      </c>
      <c r="F267">
        <v>4712</v>
      </c>
      <c r="G267">
        <v>568</v>
      </c>
      <c r="H267">
        <v>127</v>
      </c>
      <c r="I267">
        <v>84816</v>
      </c>
      <c r="J267">
        <v>84691</v>
      </c>
      <c r="K267">
        <v>100</v>
      </c>
      <c r="L267" t="s">
        <v>18</v>
      </c>
      <c r="M267" t="s">
        <v>36</v>
      </c>
      <c r="N267">
        <v>6.3749764195434822E-2</v>
      </c>
      <c r="O267" t="str">
        <f>IF(Posts[[#This Row],[Campaign_Name]] = "Not Available", "before campaign", "after campaign")</f>
        <v>after campaign</v>
      </c>
    </row>
    <row r="268" spans="1:15" x14ac:dyDescent="0.3">
      <c r="A268" t="s">
        <v>252</v>
      </c>
      <c r="B268" t="s">
        <v>48</v>
      </c>
      <c r="C268" s="1">
        <v>45748</v>
      </c>
      <c r="D268" t="s">
        <v>16</v>
      </c>
      <c r="E268" t="s">
        <v>72</v>
      </c>
      <c r="F268">
        <v>3430</v>
      </c>
      <c r="G268">
        <v>566</v>
      </c>
      <c r="H268">
        <v>164</v>
      </c>
      <c r="I268">
        <v>48020</v>
      </c>
      <c r="J268">
        <v>47305</v>
      </c>
      <c r="K268">
        <v>120</v>
      </c>
      <c r="L268" t="s">
        <v>32</v>
      </c>
      <c r="M268" t="s">
        <v>19</v>
      </c>
      <c r="N268">
        <v>8.6630570595585168E-2</v>
      </c>
      <c r="O268" t="str">
        <f>IF(Posts[[#This Row],[Campaign_Name]] = "Not Available", "before campaign", "after campaign")</f>
        <v>before campaign</v>
      </c>
    </row>
    <row r="269" spans="1:15" x14ac:dyDescent="0.3">
      <c r="A269" t="s">
        <v>47</v>
      </c>
      <c r="B269" t="s">
        <v>48</v>
      </c>
      <c r="C269" s="1">
        <v>45749</v>
      </c>
      <c r="D269" t="s">
        <v>29</v>
      </c>
      <c r="E269" t="s">
        <v>49</v>
      </c>
      <c r="F269">
        <v>199</v>
      </c>
      <c r="G269">
        <v>772</v>
      </c>
      <c r="H269">
        <v>400</v>
      </c>
      <c r="I269">
        <v>3582</v>
      </c>
      <c r="J269">
        <v>2988</v>
      </c>
      <c r="K269">
        <v>43</v>
      </c>
      <c r="L269" t="s">
        <v>23</v>
      </c>
      <c r="M269" t="s">
        <v>19</v>
      </c>
      <c r="N269">
        <v>0.38274706867671693</v>
      </c>
      <c r="O269" t="str">
        <f>IF(Posts[[#This Row],[Campaign_Name]] = "Not Available", "before campaign", "after campaign")</f>
        <v>before campaign</v>
      </c>
    </row>
    <row r="270" spans="1:15" x14ac:dyDescent="0.3">
      <c r="A270" t="s">
        <v>189</v>
      </c>
      <c r="B270" t="s">
        <v>48</v>
      </c>
      <c r="C270" s="1">
        <v>45750</v>
      </c>
      <c r="D270" t="s">
        <v>16</v>
      </c>
      <c r="E270" t="s">
        <v>72</v>
      </c>
      <c r="F270">
        <v>3767</v>
      </c>
      <c r="G270">
        <v>514</v>
      </c>
      <c r="H270">
        <v>238</v>
      </c>
      <c r="I270">
        <v>37670</v>
      </c>
      <c r="J270">
        <v>36807</v>
      </c>
      <c r="K270">
        <v>226</v>
      </c>
      <c r="L270" t="s">
        <v>32</v>
      </c>
      <c r="M270" t="s">
        <v>24</v>
      </c>
      <c r="N270">
        <v>0.11996283514733209</v>
      </c>
      <c r="O270" t="str">
        <f>IF(Posts[[#This Row],[Campaign_Name]] = "Not Available", "before campaign", "after campaign")</f>
        <v>after campaign</v>
      </c>
    </row>
    <row r="271" spans="1:15" x14ac:dyDescent="0.3">
      <c r="A271" t="s">
        <v>289</v>
      </c>
      <c r="B271" t="s">
        <v>26</v>
      </c>
      <c r="C271" s="1">
        <v>45750</v>
      </c>
      <c r="D271" t="s">
        <v>67</v>
      </c>
      <c r="E271" t="s">
        <v>84</v>
      </c>
      <c r="F271">
        <v>4054</v>
      </c>
      <c r="G271">
        <v>389</v>
      </c>
      <c r="H271">
        <v>493</v>
      </c>
      <c r="I271">
        <v>64864</v>
      </c>
      <c r="J271">
        <v>64383</v>
      </c>
      <c r="K271">
        <v>117</v>
      </c>
      <c r="L271" t="s">
        <v>23</v>
      </c>
      <c r="M271" t="s">
        <v>40</v>
      </c>
      <c r="N271">
        <v>7.6097681302417369E-2</v>
      </c>
      <c r="O271" t="str">
        <f>IF(Posts[[#This Row],[Campaign_Name]] = "Not Available", "before campaign", "after campaign")</f>
        <v>after campaign</v>
      </c>
    </row>
    <row r="272" spans="1:15" x14ac:dyDescent="0.3">
      <c r="A272" t="s">
        <v>242</v>
      </c>
      <c r="B272" t="s">
        <v>42</v>
      </c>
      <c r="C272" s="1">
        <v>45752</v>
      </c>
      <c r="D272" t="s">
        <v>21</v>
      </c>
      <c r="E272" t="s">
        <v>93</v>
      </c>
      <c r="F272">
        <v>3009</v>
      </c>
      <c r="G272">
        <v>413</v>
      </c>
      <c r="H272">
        <v>358</v>
      </c>
      <c r="I272">
        <v>42126</v>
      </c>
      <c r="J272">
        <v>41309</v>
      </c>
      <c r="K272">
        <v>211</v>
      </c>
      <c r="L272" t="s">
        <v>32</v>
      </c>
      <c r="M272" t="s">
        <v>40</v>
      </c>
      <c r="N272">
        <v>8.9730807577268201E-2</v>
      </c>
      <c r="O272" t="str">
        <f>IF(Posts[[#This Row],[Campaign_Name]] = "Not Available", "before campaign", "after campaign")</f>
        <v>after campaign</v>
      </c>
    </row>
    <row r="273" spans="1:15" x14ac:dyDescent="0.3">
      <c r="A273" t="s">
        <v>55</v>
      </c>
      <c r="B273" t="s">
        <v>42</v>
      </c>
      <c r="C273" s="1">
        <v>45753</v>
      </c>
      <c r="D273" t="s">
        <v>34</v>
      </c>
      <c r="E273" t="s">
        <v>43</v>
      </c>
      <c r="F273">
        <v>736</v>
      </c>
      <c r="G273">
        <v>771</v>
      </c>
      <c r="H273">
        <v>225</v>
      </c>
      <c r="I273">
        <v>5152</v>
      </c>
      <c r="J273">
        <v>4706</v>
      </c>
      <c r="K273">
        <v>19</v>
      </c>
      <c r="L273" t="s">
        <v>18</v>
      </c>
      <c r="M273" t="s">
        <v>46</v>
      </c>
      <c r="N273">
        <v>0.33618012422360249</v>
      </c>
      <c r="O273" t="str">
        <f>IF(Posts[[#This Row],[Campaign_Name]] = "Not Available", "before campaign", "after campaign")</f>
        <v>after campaign</v>
      </c>
    </row>
    <row r="274" spans="1:15" x14ac:dyDescent="0.3">
      <c r="A274" t="s">
        <v>82</v>
      </c>
      <c r="B274" t="s">
        <v>48</v>
      </c>
      <c r="C274" s="1">
        <v>45753</v>
      </c>
      <c r="D274" t="s">
        <v>38</v>
      </c>
      <c r="E274" t="s">
        <v>58</v>
      </c>
      <c r="F274">
        <v>4236</v>
      </c>
      <c r="G274">
        <v>711</v>
      </c>
      <c r="H274">
        <v>298</v>
      </c>
      <c r="I274">
        <v>21180</v>
      </c>
      <c r="J274">
        <v>20516</v>
      </c>
      <c r="K274">
        <v>238</v>
      </c>
      <c r="L274" t="s">
        <v>32</v>
      </c>
      <c r="M274" t="s">
        <v>46</v>
      </c>
      <c r="N274">
        <v>0.24763928234183191</v>
      </c>
      <c r="O274" t="str">
        <f>IF(Posts[[#This Row],[Campaign_Name]] = "Not Available", "before campaign", "after campaign")</f>
        <v>after campaign</v>
      </c>
    </row>
    <row r="275" spans="1:15" x14ac:dyDescent="0.3">
      <c r="A275" t="s">
        <v>279</v>
      </c>
      <c r="B275" t="s">
        <v>48</v>
      </c>
      <c r="C275" s="1">
        <v>45753</v>
      </c>
      <c r="D275" t="s">
        <v>38</v>
      </c>
      <c r="E275" t="s">
        <v>58</v>
      </c>
      <c r="F275">
        <v>3090</v>
      </c>
      <c r="G275">
        <v>697</v>
      </c>
      <c r="H275">
        <v>164</v>
      </c>
      <c r="I275">
        <v>49440</v>
      </c>
      <c r="J275">
        <v>48524</v>
      </c>
      <c r="K275">
        <v>25</v>
      </c>
      <c r="L275" t="s">
        <v>18</v>
      </c>
      <c r="M275" t="s">
        <v>40</v>
      </c>
      <c r="N275">
        <v>7.9915048543689318E-2</v>
      </c>
      <c r="O275" t="str">
        <f>IF(Posts[[#This Row],[Campaign_Name]] = "Not Available", "before campaign", "after campaign")</f>
        <v>after campaign</v>
      </c>
    </row>
    <row r="276" spans="1:15" x14ac:dyDescent="0.3">
      <c r="A276" t="s">
        <v>336</v>
      </c>
      <c r="B276" t="s">
        <v>48</v>
      </c>
      <c r="C276" s="1">
        <v>45754</v>
      </c>
      <c r="D276" t="s">
        <v>21</v>
      </c>
      <c r="E276" t="s">
        <v>117</v>
      </c>
      <c r="F276">
        <v>3718</v>
      </c>
      <c r="G276">
        <v>385</v>
      </c>
      <c r="H276">
        <v>310</v>
      </c>
      <c r="I276">
        <v>70642</v>
      </c>
      <c r="J276">
        <v>69749</v>
      </c>
      <c r="K276">
        <v>233</v>
      </c>
      <c r="L276" t="s">
        <v>23</v>
      </c>
      <c r="M276" t="s">
        <v>40</v>
      </c>
      <c r="N276">
        <v>6.246991874522239E-2</v>
      </c>
      <c r="O276" t="str">
        <f>IF(Posts[[#This Row],[Campaign_Name]] = "Not Available", "before campaign", "after campaign")</f>
        <v>after campaign</v>
      </c>
    </row>
    <row r="277" spans="1:15" x14ac:dyDescent="0.3">
      <c r="A277" t="s">
        <v>90</v>
      </c>
      <c r="B277" t="s">
        <v>15</v>
      </c>
      <c r="C277" s="1">
        <v>45755</v>
      </c>
      <c r="D277" t="s">
        <v>38</v>
      </c>
      <c r="E277" t="s">
        <v>51</v>
      </c>
      <c r="F277">
        <v>4501</v>
      </c>
      <c r="G277">
        <v>375</v>
      </c>
      <c r="H277">
        <v>323</v>
      </c>
      <c r="I277">
        <v>22505</v>
      </c>
      <c r="J277">
        <v>21836</v>
      </c>
      <c r="K277">
        <v>132</v>
      </c>
      <c r="L277" t="s">
        <v>23</v>
      </c>
      <c r="M277" t="s">
        <v>40</v>
      </c>
      <c r="N277">
        <v>0.23101532992668297</v>
      </c>
      <c r="O277" t="str">
        <f>IF(Posts[[#This Row],[Campaign_Name]] = "Not Available", "before campaign", "after campaign")</f>
        <v>after campaign</v>
      </c>
    </row>
    <row r="278" spans="1:15" x14ac:dyDescent="0.3">
      <c r="A278" t="s">
        <v>341</v>
      </c>
      <c r="B278" t="s">
        <v>26</v>
      </c>
      <c r="C278" s="1">
        <v>45757</v>
      </c>
      <c r="D278" t="s">
        <v>34</v>
      </c>
      <c r="E278" t="s">
        <v>35</v>
      </c>
      <c r="F278">
        <v>3128</v>
      </c>
      <c r="G278">
        <v>211</v>
      </c>
      <c r="H278">
        <v>197</v>
      </c>
      <c r="I278">
        <v>59432</v>
      </c>
      <c r="J278">
        <v>59182</v>
      </c>
      <c r="K278">
        <v>238</v>
      </c>
      <c r="L278" t="s">
        <v>18</v>
      </c>
      <c r="M278" t="s">
        <v>19</v>
      </c>
      <c r="N278">
        <v>5.9496567505720827E-2</v>
      </c>
      <c r="O278" t="str">
        <f>IF(Posts[[#This Row],[Campaign_Name]] = "Not Available", "before campaign", "after campaign")</f>
        <v>before campaign</v>
      </c>
    </row>
    <row r="279" spans="1:15" x14ac:dyDescent="0.3">
      <c r="A279" t="s">
        <v>262</v>
      </c>
      <c r="B279" t="s">
        <v>15</v>
      </c>
      <c r="C279" s="1">
        <v>45760</v>
      </c>
      <c r="D279" t="s">
        <v>21</v>
      </c>
      <c r="E279" t="s">
        <v>22</v>
      </c>
      <c r="F279">
        <v>4579</v>
      </c>
      <c r="G279">
        <v>125</v>
      </c>
      <c r="H279">
        <v>300</v>
      </c>
      <c r="I279">
        <v>59527</v>
      </c>
      <c r="J279">
        <v>59400</v>
      </c>
      <c r="K279">
        <v>269</v>
      </c>
      <c r="L279" t="s">
        <v>18</v>
      </c>
      <c r="M279" t="s">
        <v>46</v>
      </c>
      <c r="N279">
        <v>8.4062694239588759E-2</v>
      </c>
      <c r="O279" t="str">
        <f>IF(Posts[[#This Row],[Campaign_Name]] = "Not Available", "before campaign", "after campaign")</f>
        <v>after campaign</v>
      </c>
    </row>
    <row r="280" spans="1:15" x14ac:dyDescent="0.3">
      <c r="A280" t="s">
        <v>20</v>
      </c>
      <c r="B280" t="s">
        <v>15</v>
      </c>
      <c r="C280" s="1">
        <v>45762</v>
      </c>
      <c r="D280" t="s">
        <v>21</v>
      </c>
      <c r="E280" t="s">
        <v>22</v>
      </c>
      <c r="F280">
        <v>103</v>
      </c>
      <c r="G280">
        <v>770</v>
      </c>
      <c r="H280">
        <v>19</v>
      </c>
      <c r="I280">
        <v>1030</v>
      </c>
      <c r="J280">
        <v>410</v>
      </c>
      <c r="K280">
        <v>262</v>
      </c>
      <c r="L280" t="s">
        <v>23</v>
      </c>
      <c r="M280" t="s">
        <v>24</v>
      </c>
      <c r="N280">
        <v>0.86601941747572819</v>
      </c>
      <c r="O280" t="str">
        <f>IF(Posts[[#This Row],[Campaign_Name]] = "Not Available", "before campaign", "after campaign")</f>
        <v>after campaign</v>
      </c>
    </row>
    <row r="281" spans="1:15" x14ac:dyDescent="0.3">
      <c r="A281" t="s">
        <v>106</v>
      </c>
      <c r="B281" t="s">
        <v>15</v>
      </c>
      <c r="C281" s="1">
        <v>45762</v>
      </c>
      <c r="D281" t="s">
        <v>29</v>
      </c>
      <c r="E281" t="s">
        <v>30</v>
      </c>
      <c r="F281">
        <v>4133</v>
      </c>
      <c r="G281">
        <v>466</v>
      </c>
      <c r="H281">
        <v>327</v>
      </c>
      <c r="I281">
        <v>24798</v>
      </c>
      <c r="J281">
        <v>24620</v>
      </c>
      <c r="K281">
        <v>176</v>
      </c>
      <c r="L281" t="s">
        <v>18</v>
      </c>
      <c r="M281" t="s">
        <v>24</v>
      </c>
      <c r="N281">
        <v>0.19864505202032423</v>
      </c>
      <c r="O281" t="str">
        <f>IF(Posts[[#This Row],[Campaign_Name]] = "Not Available", "before campaign", "after campaign")</f>
        <v>after campaign</v>
      </c>
    </row>
    <row r="282" spans="1:15" x14ac:dyDescent="0.3">
      <c r="A282" t="s">
        <v>321</v>
      </c>
      <c r="B282" t="s">
        <v>42</v>
      </c>
      <c r="C282" s="1">
        <v>45764</v>
      </c>
      <c r="D282" t="s">
        <v>34</v>
      </c>
      <c r="E282" t="s">
        <v>43</v>
      </c>
      <c r="F282">
        <v>4780</v>
      </c>
      <c r="G282">
        <v>691</v>
      </c>
      <c r="H282">
        <v>380</v>
      </c>
      <c r="I282">
        <v>86040</v>
      </c>
      <c r="J282">
        <v>85743</v>
      </c>
      <c r="K282">
        <v>262</v>
      </c>
      <c r="L282" t="s">
        <v>32</v>
      </c>
      <c r="M282" t="s">
        <v>36</v>
      </c>
      <c r="N282">
        <v>6.800325430032543E-2</v>
      </c>
      <c r="O282" t="str">
        <f>IF(Posts[[#This Row],[Campaign_Name]] = "Not Available", "before campaign", "after campaign")</f>
        <v>after campaign</v>
      </c>
    </row>
    <row r="283" spans="1:15" x14ac:dyDescent="0.3">
      <c r="A283" t="s">
        <v>111</v>
      </c>
      <c r="B283" t="s">
        <v>15</v>
      </c>
      <c r="C283" s="1">
        <v>45766</v>
      </c>
      <c r="D283" t="s">
        <v>38</v>
      </c>
      <c r="E283" t="s">
        <v>51</v>
      </c>
      <c r="F283">
        <v>4177</v>
      </c>
      <c r="G283">
        <v>569</v>
      </c>
      <c r="H283">
        <v>55</v>
      </c>
      <c r="I283">
        <v>25062</v>
      </c>
      <c r="J283">
        <v>24847</v>
      </c>
      <c r="K283">
        <v>230</v>
      </c>
      <c r="L283" t="s">
        <v>32</v>
      </c>
      <c r="M283" t="s">
        <v>46</v>
      </c>
      <c r="N283">
        <v>0.19156491900087783</v>
      </c>
      <c r="O283" t="str">
        <f>IF(Posts[[#This Row],[Campaign_Name]] = "Not Available", "before campaign", "after campaign")</f>
        <v>after campaign</v>
      </c>
    </row>
    <row r="284" spans="1:15" x14ac:dyDescent="0.3">
      <c r="A284" t="s">
        <v>288</v>
      </c>
      <c r="B284" t="s">
        <v>15</v>
      </c>
      <c r="C284" s="1">
        <v>45766</v>
      </c>
      <c r="D284" t="s">
        <v>16</v>
      </c>
      <c r="E284" t="s">
        <v>17</v>
      </c>
      <c r="F284">
        <v>4518</v>
      </c>
      <c r="G284">
        <v>285</v>
      </c>
      <c r="H284">
        <v>383</v>
      </c>
      <c r="I284">
        <v>67770</v>
      </c>
      <c r="J284">
        <v>67621</v>
      </c>
      <c r="K284">
        <v>31</v>
      </c>
      <c r="L284" t="s">
        <v>18</v>
      </c>
      <c r="M284" t="s">
        <v>40</v>
      </c>
      <c r="N284">
        <v>7.6523535487678915E-2</v>
      </c>
      <c r="O284" t="str">
        <f>IF(Posts[[#This Row],[Campaign_Name]] = "Not Available", "before campaign", "after campaign")</f>
        <v>after campaign</v>
      </c>
    </row>
    <row r="285" spans="1:15" x14ac:dyDescent="0.3">
      <c r="A285" t="s">
        <v>108</v>
      </c>
      <c r="B285" t="s">
        <v>48</v>
      </c>
      <c r="C285" s="1">
        <v>45769</v>
      </c>
      <c r="D285" t="s">
        <v>38</v>
      </c>
      <c r="E285" t="s">
        <v>58</v>
      </c>
      <c r="F285">
        <v>4804</v>
      </c>
      <c r="G285">
        <v>550</v>
      </c>
      <c r="H285">
        <v>270</v>
      </c>
      <c r="I285">
        <v>28824</v>
      </c>
      <c r="J285">
        <v>28370</v>
      </c>
      <c r="K285">
        <v>47</v>
      </c>
      <c r="L285" t="s">
        <v>18</v>
      </c>
      <c r="M285" t="s">
        <v>24</v>
      </c>
      <c r="N285">
        <v>0.19511518179295032</v>
      </c>
      <c r="O285" t="str">
        <f>IF(Posts[[#This Row],[Campaign_Name]] = "Not Available", "before campaign", "after campaign")</f>
        <v>after campaign</v>
      </c>
    </row>
    <row r="286" spans="1:15" x14ac:dyDescent="0.3">
      <c r="A286" t="s">
        <v>212</v>
      </c>
      <c r="B286" t="s">
        <v>26</v>
      </c>
      <c r="C286" s="1">
        <v>45771</v>
      </c>
      <c r="D286" t="s">
        <v>29</v>
      </c>
      <c r="E286" t="s">
        <v>100</v>
      </c>
      <c r="F286">
        <v>3820</v>
      </c>
      <c r="G286">
        <v>697</v>
      </c>
      <c r="H286">
        <v>268</v>
      </c>
      <c r="I286">
        <v>45840</v>
      </c>
      <c r="J286">
        <v>45631</v>
      </c>
      <c r="K286">
        <v>171</v>
      </c>
      <c r="L286" t="s">
        <v>23</v>
      </c>
      <c r="M286" t="s">
        <v>24</v>
      </c>
      <c r="N286">
        <v>0.1043848167539267</v>
      </c>
      <c r="O286" t="str">
        <f>IF(Posts[[#This Row],[Campaign_Name]] = "Not Available", "before campaign", "after campaign")</f>
        <v>after campaign</v>
      </c>
    </row>
    <row r="287" spans="1:15" x14ac:dyDescent="0.3">
      <c r="A287" t="s">
        <v>313</v>
      </c>
      <c r="B287" t="s">
        <v>26</v>
      </c>
      <c r="C287" s="1">
        <v>45771</v>
      </c>
      <c r="D287" t="s">
        <v>21</v>
      </c>
      <c r="E287" t="s">
        <v>54</v>
      </c>
      <c r="F287">
        <v>3731</v>
      </c>
      <c r="G287">
        <v>115</v>
      </c>
      <c r="H287">
        <v>135</v>
      </c>
      <c r="I287">
        <v>55965</v>
      </c>
      <c r="J287">
        <v>55436</v>
      </c>
      <c r="K287">
        <v>103</v>
      </c>
      <c r="L287" t="s">
        <v>23</v>
      </c>
      <c r="M287" t="s">
        <v>46</v>
      </c>
      <c r="N287">
        <v>7.1133744304476013E-2</v>
      </c>
      <c r="O287" t="str">
        <f>IF(Posts[[#This Row],[Campaign_Name]] = "Not Available", "before campaign", "after campaign")</f>
        <v>after campaign</v>
      </c>
    </row>
    <row r="288" spans="1:15" x14ac:dyDescent="0.3">
      <c r="A288" t="s">
        <v>140</v>
      </c>
      <c r="B288" t="s">
        <v>48</v>
      </c>
      <c r="C288" s="1">
        <v>45775</v>
      </c>
      <c r="D288" t="s">
        <v>34</v>
      </c>
      <c r="E288" t="s">
        <v>114</v>
      </c>
      <c r="F288">
        <v>2089</v>
      </c>
      <c r="G288">
        <v>476</v>
      </c>
      <c r="H288">
        <v>69</v>
      </c>
      <c r="I288">
        <v>16712</v>
      </c>
      <c r="J288">
        <v>16309</v>
      </c>
      <c r="K288">
        <v>64</v>
      </c>
      <c r="L288" t="s">
        <v>32</v>
      </c>
      <c r="M288" t="s">
        <v>36</v>
      </c>
      <c r="N288">
        <v>0.15761129727142173</v>
      </c>
      <c r="O288" t="str">
        <f>IF(Posts[[#This Row],[Campaign_Name]] = "Not Available", "before campaign", "after campaign")</f>
        <v>after campaign</v>
      </c>
    </row>
    <row r="289" spans="1:15" x14ac:dyDescent="0.3">
      <c r="A289" t="s">
        <v>319</v>
      </c>
      <c r="B289" t="s">
        <v>26</v>
      </c>
      <c r="C289" s="1">
        <v>45775</v>
      </c>
      <c r="D289" t="s">
        <v>67</v>
      </c>
      <c r="E289" t="s">
        <v>84</v>
      </c>
      <c r="F289">
        <v>3577</v>
      </c>
      <c r="G289">
        <v>596</v>
      </c>
      <c r="H289">
        <v>493</v>
      </c>
      <c r="I289">
        <v>67963</v>
      </c>
      <c r="J289">
        <v>67839</v>
      </c>
      <c r="K289">
        <v>53</v>
      </c>
      <c r="L289" t="s">
        <v>23</v>
      </c>
      <c r="M289" t="s">
        <v>36</v>
      </c>
      <c r="N289">
        <v>6.8655003457763777E-2</v>
      </c>
      <c r="O289" t="str">
        <f>IF(Posts[[#This Row],[Campaign_Name]] = "Not Available", "before campaign", "after campaign")</f>
        <v>after campaign</v>
      </c>
    </row>
    <row r="290" spans="1:15" x14ac:dyDescent="0.3">
      <c r="A290" t="s">
        <v>25</v>
      </c>
      <c r="B290" t="s">
        <v>26</v>
      </c>
      <c r="C290" s="1">
        <v>45776</v>
      </c>
      <c r="D290" t="s">
        <v>16</v>
      </c>
      <c r="E290" t="s">
        <v>27</v>
      </c>
      <c r="F290">
        <v>249</v>
      </c>
      <c r="G290">
        <v>592</v>
      </c>
      <c r="H290">
        <v>230</v>
      </c>
      <c r="I290">
        <v>1494</v>
      </c>
      <c r="J290">
        <v>1044</v>
      </c>
      <c r="K290">
        <v>201</v>
      </c>
      <c r="L290" t="s">
        <v>18</v>
      </c>
      <c r="M290" t="s">
        <v>24</v>
      </c>
      <c r="N290">
        <v>0.7168674698795181</v>
      </c>
      <c r="O290" t="str">
        <f>IF(Posts[[#This Row],[Campaign_Name]] = "Not Available", "before campaign", "after campaign")</f>
        <v>after campaign</v>
      </c>
    </row>
    <row r="291" spans="1:15" x14ac:dyDescent="0.3">
      <c r="A291" t="s">
        <v>255</v>
      </c>
      <c r="B291" t="s">
        <v>15</v>
      </c>
      <c r="C291" s="1">
        <v>45778</v>
      </c>
      <c r="D291" t="s">
        <v>67</v>
      </c>
      <c r="E291" t="s">
        <v>68</v>
      </c>
      <c r="F291">
        <v>1430</v>
      </c>
      <c r="G291">
        <v>376</v>
      </c>
      <c r="H291">
        <v>33</v>
      </c>
      <c r="I291">
        <v>21450</v>
      </c>
      <c r="J291">
        <v>20509</v>
      </c>
      <c r="K291">
        <v>251</v>
      </c>
      <c r="L291" t="s">
        <v>32</v>
      </c>
      <c r="M291" t="s">
        <v>46</v>
      </c>
      <c r="N291">
        <v>8.5734265734265735E-2</v>
      </c>
      <c r="O291" t="str">
        <f>IF(Posts[[#This Row],[Campaign_Name]] = "Not Available", "before campaign", "after campaign")</f>
        <v>after campaign</v>
      </c>
    </row>
    <row r="292" spans="1:15" x14ac:dyDescent="0.3">
      <c r="A292" t="s">
        <v>269</v>
      </c>
      <c r="B292" t="s">
        <v>48</v>
      </c>
      <c r="C292" s="1">
        <v>45778</v>
      </c>
      <c r="D292" t="s">
        <v>34</v>
      </c>
      <c r="E292" t="s">
        <v>114</v>
      </c>
      <c r="F292">
        <v>2696</v>
      </c>
      <c r="G292">
        <v>628</v>
      </c>
      <c r="H292">
        <v>443</v>
      </c>
      <c r="I292">
        <v>45832</v>
      </c>
      <c r="J292">
        <v>45632</v>
      </c>
      <c r="K292">
        <v>248</v>
      </c>
      <c r="L292" t="s">
        <v>18</v>
      </c>
      <c r="M292" t="s">
        <v>24</v>
      </c>
      <c r="N292">
        <v>8.21914819340199E-2</v>
      </c>
      <c r="O292" t="str">
        <f>IF(Posts[[#This Row],[Campaign_Name]] = "Not Available", "before campaign", "after campaign")</f>
        <v>after campaign</v>
      </c>
    </row>
    <row r="293" spans="1:15" x14ac:dyDescent="0.3">
      <c r="A293" t="s">
        <v>127</v>
      </c>
      <c r="B293" t="s">
        <v>26</v>
      </c>
      <c r="C293" s="1">
        <v>45779</v>
      </c>
      <c r="D293" t="s">
        <v>29</v>
      </c>
      <c r="E293" t="s">
        <v>100</v>
      </c>
      <c r="F293">
        <v>1108</v>
      </c>
      <c r="G293">
        <v>177</v>
      </c>
      <c r="H293">
        <v>212</v>
      </c>
      <c r="I293">
        <v>8864</v>
      </c>
      <c r="J293">
        <v>8710</v>
      </c>
      <c r="K293">
        <v>97</v>
      </c>
      <c r="L293" t="s">
        <v>23</v>
      </c>
      <c r="M293" t="s">
        <v>24</v>
      </c>
      <c r="N293">
        <v>0.16888537906137185</v>
      </c>
      <c r="O293" t="str">
        <f>IF(Posts[[#This Row],[Campaign_Name]] = "Not Available", "before campaign", "after campaign")</f>
        <v>after campaign</v>
      </c>
    </row>
    <row r="294" spans="1:15" x14ac:dyDescent="0.3">
      <c r="A294" t="s">
        <v>231</v>
      </c>
      <c r="B294" t="s">
        <v>48</v>
      </c>
      <c r="C294" s="1">
        <v>45782</v>
      </c>
      <c r="D294" t="s">
        <v>67</v>
      </c>
      <c r="E294" t="s">
        <v>76</v>
      </c>
      <c r="F294">
        <v>4441</v>
      </c>
      <c r="G294">
        <v>511</v>
      </c>
      <c r="H294">
        <v>70</v>
      </c>
      <c r="I294">
        <v>53292</v>
      </c>
      <c r="J294">
        <v>53082</v>
      </c>
      <c r="K294">
        <v>159</v>
      </c>
      <c r="L294" t="s">
        <v>18</v>
      </c>
      <c r="M294" t="s">
        <v>24</v>
      </c>
      <c r="N294">
        <v>9.4235532537716729E-2</v>
      </c>
      <c r="O294" t="str">
        <f>IF(Posts[[#This Row],[Campaign_Name]] = "Not Available", "before campaign", "after campaign")</f>
        <v>after campaign</v>
      </c>
    </row>
    <row r="295" spans="1:15" x14ac:dyDescent="0.3">
      <c r="A295" t="s">
        <v>134</v>
      </c>
      <c r="B295" t="s">
        <v>26</v>
      </c>
      <c r="C295" s="1">
        <v>45783</v>
      </c>
      <c r="D295" t="s">
        <v>38</v>
      </c>
      <c r="E295" t="s">
        <v>39</v>
      </c>
      <c r="F295">
        <v>1952</v>
      </c>
      <c r="G295">
        <v>344</v>
      </c>
      <c r="H295">
        <v>287</v>
      </c>
      <c r="I295">
        <v>15616</v>
      </c>
      <c r="J295">
        <v>15403</v>
      </c>
      <c r="K295">
        <v>235</v>
      </c>
      <c r="L295" t="s">
        <v>32</v>
      </c>
      <c r="M295" t="s">
        <v>40</v>
      </c>
      <c r="N295">
        <v>0.16540727459016394</v>
      </c>
      <c r="O295" t="str">
        <f>IF(Posts[[#This Row],[Campaign_Name]] = "Not Available", "before campaign", "after campaign")</f>
        <v>after campaign</v>
      </c>
    </row>
    <row r="296" spans="1:15" x14ac:dyDescent="0.3">
      <c r="A296" t="s">
        <v>306</v>
      </c>
      <c r="B296" t="s">
        <v>48</v>
      </c>
      <c r="C296" s="1">
        <v>45783</v>
      </c>
      <c r="D296" t="s">
        <v>38</v>
      </c>
      <c r="E296" t="s">
        <v>58</v>
      </c>
      <c r="F296">
        <v>4872</v>
      </c>
      <c r="G296">
        <v>925</v>
      </c>
      <c r="H296">
        <v>176</v>
      </c>
      <c r="I296">
        <v>82824</v>
      </c>
      <c r="J296">
        <v>82543</v>
      </c>
      <c r="K296">
        <v>89</v>
      </c>
      <c r="L296" t="s">
        <v>18</v>
      </c>
      <c r="M296" t="s">
        <v>40</v>
      </c>
      <c r="N296">
        <v>7.2116777745580993E-2</v>
      </c>
      <c r="O296" t="str">
        <f>IF(Posts[[#This Row],[Campaign_Name]] = "Not Available", "before campaign", "after campaign")</f>
        <v>after campaign</v>
      </c>
    </row>
    <row r="297" spans="1:15" x14ac:dyDescent="0.3">
      <c r="A297" t="s">
        <v>346</v>
      </c>
      <c r="B297" t="s">
        <v>26</v>
      </c>
      <c r="C297" s="1">
        <v>45786</v>
      </c>
      <c r="D297" t="s">
        <v>21</v>
      </c>
      <c r="E297" t="s">
        <v>54</v>
      </c>
      <c r="F297">
        <v>3367</v>
      </c>
      <c r="G297">
        <v>302</v>
      </c>
      <c r="H297">
        <v>57</v>
      </c>
      <c r="I297">
        <v>63973</v>
      </c>
      <c r="J297">
        <v>63789</v>
      </c>
      <c r="K297">
        <v>157</v>
      </c>
      <c r="L297" t="s">
        <v>32</v>
      </c>
      <c r="M297" t="s">
        <v>40</v>
      </c>
      <c r="N297">
        <v>5.8243321401216137E-2</v>
      </c>
      <c r="O297" t="str">
        <f>IF(Posts[[#This Row],[Campaign_Name]] = "Not Available", "before campaign", "after campaign")</f>
        <v>after campaign</v>
      </c>
    </row>
    <row r="298" spans="1:15" x14ac:dyDescent="0.3">
      <c r="A298" t="s">
        <v>338</v>
      </c>
      <c r="B298" t="s">
        <v>26</v>
      </c>
      <c r="C298" s="1">
        <v>45788</v>
      </c>
      <c r="D298" t="s">
        <v>38</v>
      </c>
      <c r="E298" t="s">
        <v>39</v>
      </c>
      <c r="F298">
        <v>2493</v>
      </c>
      <c r="G298">
        <v>97</v>
      </c>
      <c r="H298">
        <v>44</v>
      </c>
      <c r="I298">
        <v>42381</v>
      </c>
      <c r="J298">
        <v>41991</v>
      </c>
      <c r="K298">
        <v>242</v>
      </c>
      <c r="L298" t="s">
        <v>23</v>
      </c>
      <c r="M298" t="s">
        <v>24</v>
      </c>
      <c r="N298">
        <v>6.2150491965739366E-2</v>
      </c>
      <c r="O298" t="str">
        <f>IF(Posts[[#This Row],[Campaign_Name]] = "Not Available", "before campaign", "after campaign")</f>
        <v>after campaign</v>
      </c>
    </row>
    <row r="299" spans="1:15" x14ac:dyDescent="0.3">
      <c r="A299" t="s">
        <v>353</v>
      </c>
      <c r="B299" t="s">
        <v>42</v>
      </c>
      <c r="C299" s="1">
        <v>45789</v>
      </c>
      <c r="D299" t="s">
        <v>21</v>
      </c>
      <c r="E299" t="s">
        <v>93</v>
      </c>
      <c r="F299">
        <v>2795</v>
      </c>
      <c r="G299">
        <v>105</v>
      </c>
      <c r="H299">
        <v>49</v>
      </c>
      <c r="I299">
        <v>53105</v>
      </c>
      <c r="J299">
        <v>52307</v>
      </c>
      <c r="K299">
        <v>204</v>
      </c>
      <c r="L299" t="s">
        <v>23</v>
      </c>
      <c r="M299" t="s">
        <v>36</v>
      </c>
      <c r="N299">
        <v>5.5531494209584788E-2</v>
      </c>
      <c r="O299" t="str">
        <f>IF(Posts[[#This Row],[Campaign_Name]] = "Not Available", "before campaign", "after campaign")</f>
        <v>after campaign</v>
      </c>
    </row>
    <row r="300" spans="1:15" x14ac:dyDescent="0.3">
      <c r="A300" t="s">
        <v>57</v>
      </c>
      <c r="B300" t="s">
        <v>48</v>
      </c>
      <c r="C300" s="1">
        <v>45790</v>
      </c>
      <c r="D300" t="s">
        <v>38</v>
      </c>
      <c r="E300" t="s">
        <v>58</v>
      </c>
      <c r="F300">
        <v>602</v>
      </c>
      <c r="G300">
        <v>594</v>
      </c>
      <c r="H300">
        <v>156</v>
      </c>
      <c r="I300">
        <v>4214</v>
      </c>
      <c r="J300">
        <v>3363</v>
      </c>
      <c r="K300">
        <v>164</v>
      </c>
      <c r="L300" t="s">
        <v>23</v>
      </c>
      <c r="M300" t="s">
        <v>36</v>
      </c>
      <c r="N300">
        <v>0.32083531086853345</v>
      </c>
      <c r="O300" t="str">
        <f>IF(Posts[[#This Row],[Campaign_Name]] = "Not Available", "before campaign", "after campaign")</f>
        <v>after campaign</v>
      </c>
    </row>
    <row r="301" spans="1:15" x14ac:dyDescent="0.3">
      <c r="A301" t="s">
        <v>183</v>
      </c>
      <c r="B301" t="s">
        <v>48</v>
      </c>
      <c r="C301" s="1">
        <v>45791</v>
      </c>
      <c r="D301" t="s">
        <v>67</v>
      </c>
      <c r="E301" t="s">
        <v>76</v>
      </c>
      <c r="F301">
        <v>2634</v>
      </c>
      <c r="G301">
        <v>726</v>
      </c>
      <c r="H301">
        <v>241</v>
      </c>
      <c r="I301">
        <v>28974</v>
      </c>
      <c r="J301">
        <v>28102</v>
      </c>
      <c r="K301">
        <v>277</v>
      </c>
      <c r="L301" t="s">
        <v>18</v>
      </c>
      <c r="M301" t="s">
        <v>46</v>
      </c>
      <c r="N301">
        <v>0.12428384068475185</v>
      </c>
      <c r="O301" t="str">
        <f>IF(Posts[[#This Row],[Campaign_Name]] = "Not Available", "before campaign", "after campaign")</f>
        <v>after campaign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67FF-3CF1-4DC8-8D74-56FB8FF26578}">
  <dimension ref="A1:J201"/>
  <sheetViews>
    <sheetView topLeftCell="A2" workbookViewId="0">
      <selection activeCell="H1" sqref="H1:H1048576"/>
    </sheetView>
  </sheetViews>
  <sheetFormatPr defaultRowHeight="14.4" x14ac:dyDescent="0.3"/>
  <cols>
    <col min="1" max="1" width="18.33203125" bestFit="1" customWidth="1"/>
    <col min="2" max="2" width="10.6640625" bestFit="1" customWidth="1"/>
    <col min="3" max="3" width="16.5546875" bestFit="1" customWidth="1"/>
    <col min="4" max="4" width="11.88671875" bestFit="1" customWidth="1"/>
    <col min="5" max="5" width="16.88671875" bestFit="1" customWidth="1"/>
    <col min="6" max="6" width="19.109375" bestFit="1" customWidth="1"/>
    <col min="7" max="7" width="11.77734375" bestFit="1" customWidth="1"/>
    <col min="8" max="8" width="10.6640625" hidden="1" customWidth="1"/>
  </cols>
  <sheetData>
    <row r="1" spans="1:10" x14ac:dyDescent="0.3">
      <c r="A1" t="s">
        <v>356</v>
      </c>
      <c r="B1" t="s">
        <v>1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385</v>
      </c>
      <c r="I1" t="s">
        <v>386</v>
      </c>
      <c r="J1" t="s">
        <v>391</v>
      </c>
    </row>
    <row r="2" spans="1:10" x14ac:dyDescent="0.3">
      <c r="A2" s="1">
        <v>45446</v>
      </c>
      <c r="B2" t="s">
        <v>15</v>
      </c>
      <c r="C2">
        <v>1135</v>
      </c>
      <c r="D2">
        <v>88</v>
      </c>
      <c r="E2">
        <v>344084</v>
      </c>
      <c r="F2">
        <v>8.06</v>
      </c>
      <c r="G2">
        <v>5904</v>
      </c>
      <c r="H2">
        <f>Engagement_Summary[[#This Row],[New_Followers]]-Engagement_Summary[[#This Row],[Unfollows]]</f>
        <v>1047</v>
      </c>
      <c r="I2">
        <f>Engagement_Summary[[#This Row],[net followers]]/Engagement_Summary[[#This Row],[Total_Followers]]</f>
        <v>3.0428616268120576E-3</v>
      </c>
      <c r="J2" t="e">
        <v>#N/A</v>
      </c>
    </row>
    <row r="3" spans="1:10" x14ac:dyDescent="0.3">
      <c r="A3" s="1">
        <v>45446</v>
      </c>
      <c r="B3" t="s">
        <v>48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>Engagement_Summary[[#This Row],[New_Followers]]-Engagement_Summary[[#This Row],[Unfollows]]</f>
        <v>1002</v>
      </c>
      <c r="I3">
        <f>Engagement_Summary[[#This Row],[net followers]]/Engagement_Summary[[#This Row],[Total_Followers]]</f>
        <v>2.3491348994232664E-2</v>
      </c>
      <c r="J3" t="e">
        <v>#N/A</v>
      </c>
    </row>
    <row r="4" spans="1:10" x14ac:dyDescent="0.3">
      <c r="A4" s="1">
        <v>45446</v>
      </c>
      <c r="B4" t="s">
        <v>26</v>
      </c>
      <c r="C4">
        <v>584</v>
      </c>
      <c r="D4">
        <v>169</v>
      </c>
      <c r="E4">
        <v>146834</v>
      </c>
      <c r="F4">
        <v>8.31</v>
      </c>
      <c r="G4">
        <v>26752</v>
      </c>
      <c r="H4">
        <f>Engagement_Summary[[#This Row],[New_Followers]]-Engagement_Summary[[#This Row],[Unfollows]]</f>
        <v>415</v>
      </c>
      <c r="I4">
        <f>Engagement_Summary[[#This Row],[net followers]]/Engagement_Summary[[#This Row],[Total_Followers]]</f>
        <v>2.826320879360366E-3</v>
      </c>
      <c r="J4">
        <f t="shared" ref="J4:J35" si="0">AVERAGE(I2:I4)</f>
        <v>9.786843833468362E-3</v>
      </c>
    </row>
    <row r="5" spans="1:10" x14ac:dyDescent="0.3">
      <c r="A5" s="1">
        <v>45446</v>
      </c>
      <c r="B5" t="s">
        <v>42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>
        <f>Engagement_Summary[[#This Row],[New_Followers]]-Engagement_Summary[[#This Row],[Unfollows]]</f>
        <v>1090</v>
      </c>
      <c r="I5">
        <f>Engagement_Summary[[#This Row],[net followers]]/Engagement_Summary[[#This Row],[Total_Followers]]</f>
        <v>2.7557542170624167E-3</v>
      </c>
      <c r="J5">
        <f t="shared" si="0"/>
        <v>9.6911413635518157E-3</v>
      </c>
    </row>
    <row r="6" spans="1:10" x14ac:dyDescent="0.3">
      <c r="A6" s="1">
        <v>45453</v>
      </c>
      <c r="B6" t="s">
        <v>15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>
        <f>Engagement_Summary[[#This Row],[New_Followers]]-Engagement_Summary[[#This Row],[Unfollows]]</f>
        <v>517</v>
      </c>
      <c r="I6">
        <f>Engagement_Summary[[#This Row],[net followers]]/Engagement_Summary[[#This Row],[Total_Followers]]</f>
        <v>1.0517322049758936E-2</v>
      </c>
      <c r="J6">
        <f t="shared" si="0"/>
        <v>5.3664657153939055E-3</v>
      </c>
    </row>
    <row r="7" spans="1:10" x14ac:dyDescent="0.3">
      <c r="A7" s="1">
        <v>45453</v>
      </c>
      <c r="B7" t="s">
        <v>48</v>
      </c>
      <c r="C7">
        <v>1697</v>
      </c>
      <c r="D7">
        <v>414</v>
      </c>
      <c r="E7">
        <v>316555</v>
      </c>
      <c r="F7">
        <v>2.37</v>
      </c>
      <c r="G7">
        <v>7924</v>
      </c>
      <c r="H7">
        <f>Engagement_Summary[[#This Row],[New_Followers]]-Engagement_Summary[[#This Row],[Unfollows]]</f>
        <v>1283</v>
      </c>
      <c r="I7">
        <f>Engagement_Summary[[#This Row],[net followers]]/Engagement_Summary[[#This Row],[Total_Followers]]</f>
        <v>4.0530081660374974E-3</v>
      </c>
      <c r="J7">
        <f t="shared" si="0"/>
        <v>5.7753614776196163E-3</v>
      </c>
    </row>
    <row r="8" spans="1:10" x14ac:dyDescent="0.3">
      <c r="A8" s="1">
        <v>45453</v>
      </c>
      <c r="B8" t="s">
        <v>26</v>
      </c>
      <c r="C8">
        <v>436</v>
      </c>
      <c r="D8">
        <v>250</v>
      </c>
      <c r="E8">
        <v>254347</v>
      </c>
      <c r="F8">
        <v>4.01</v>
      </c>
      <c r="G8">
        <v>8912</v>
      </c>
      <c r="H8">
        <f>Engagement_Summary[[#This Row],[New_Followers]]-Engagement_Summary[[#This Row],[Unfollows]]</f>
        <v>186</v>
      </c>
      <c r="I8">
        <f>Engagement_Summary[[#This Row],[net followers]]/Engagement_Summary[[#This Row],[Total_Followers]]</f>
        <v>7.3128442639386348E-4</v>
      </c>
      <c r="J8">
        <f t="shared" si="0"/>
        <v>5.1005382140634319E-3</v>
      </c>
    </row>
    <row r="9" spans="1:10" x14ac:dyDescent="0.3">
      <c r="A9" s="1">
        <v>45453</v>
      </c>
      <c r="B9" t="s">
        <v>42</v>
      </c>
      <c r="C9">
        <v>1197</v>
      </c>
      <c r="D9">
        <v>203</v>
      </c>
      <c r="E9">
        <v>413878</v>
      </c>
      <c r="F9">
        <v>3.16</v>
      </c>
      <c r="G9">
        <v>21205</v>
      </c>
      <c r="H9">
        <f>Engagement_Summary[[#This Row],[New_Followers]]-Engagement_Summary[[#This Row],[Unfollows]]</f>
        <v>994</v>
      </c>
      <c r="I9">
        <f>Engagement_Summary[[#This Row],[net followers]]/Engagement_Summary[[#This Row],[Total_Followers]]</f>
        <v>2.4016739232334168E-3</v>
      </c>
      <c r="J9">
        <f t="shared" si="0"/>
        <v>2.3953221718882593E-3</v>
      </c>
    </row>
    <row r="10" spans="1:10" x14ac:dyDescent="0.3">
      <c r="A10" s="1">
        <v>45460</v>
      </c>
      <c r="B10" t="s">
        <v>15</v>
      </c>
      <c r="C10">
        <v>1048</v>
      </c>
      <c r="D10">
        <v>155</v>
      </c>
      <c r="E10">
        <v>456946</v>
      </c>
      <c r="F10">
        <v>2.46</v>
      </c>
      <c r="G10">
        <v>11329</v>
      </c>
      <c r="H10">
        <f>Engagement_Summary[[#This Row],[New_Followers]]-Engagement_Summary[[#This Row],[Unfollows]]</f>
        <v>893</v>
      </c>
      <c r="I10">
        <f>Engagement_Summary[[#This Row],[net followers]]/Engagement_Summary[[#This Row],[Total_Followers]]</f>
        <v>1.9542790614208243E-3</v>
      </c>
      <c r="J10">
        <f t="shared" si="0"/>
        <v>1.6957458036827016E-3</v>
      </c>
    </row>
    <row r="11" spans="1:10" x14ac:dyDescent="0.3">
      <c r="A11" s="1">
        <v>45460</v>
      </c>
      <c r="B11" t="s">
        <v>48</v>
      </c>
      <c r="C11">
        <v>1753</v>
      </c>
      <c r="D11">
        <v>371</v>
      </c>
      <c r="E11">
        <v>169496</v>
      </c>
      <c r="F11">
        <v>8.11</v>
      </c>
      <c r="G11">
        <v>46670</v>
      </c>
      <c r="H11">
        <f>Engagement_Summary[[#This Row],[New_Followers]]-Engagement_Summary[[#This Row],[Unfollows]]</f>
        <v>1382</v>
      </c>
      <c r="I11">
        <f>Engagement_Summary[[#This Row],[net followers]]/Engagement_Summary[[#This Row],[Total_Followers]]</f>
        <v>8.1535847453627231E-3</v>
      </c>
      <c r="J11">
        <f t="shared" si="0"/>
        <v>4.1698459100056552E-3</v>
      </c>
    </row>
    <row r="12" spans="1:10" x14ac:dyDescent="0.3">
      <c r="A12" s="1">
        <v>45460</v>
      </c>
      <c r="B12" t="s">
        <v>26</v>
      </c>
      <c r="C12">
        <v>1335</v>
      </c>
      <c r="D12">
        <v>40</v>
      </c>
      <c r="E12">
        <v>122732</v>
      </c>
      <c r="F12">
        <v>8.19</v>
      </c>
      <c r="G12">
        <v>22482</v>
      </c>
      <c r="H12">
        <f>Engagement_Summary[[#This Row],[New_Followers]]-Engagement_Summary[[#This Row],[Unfollows]]</f>
        <v>1295</v>
      </c>
      <c r="I12">
        <f>Engagement_Summary[[#This Row],[net followers]]/Engagement_Summary[[#This Row],[Total_Followers]]</f>
        <v>1.0551445425805821E-2</v>
      </c>
      <c r="J12">
        <f t="shared" si="0"/>
        <v>6.8864364108631232E-3</v>
      </c>
    </row>
    <row r="13" spans="1:10" x14ac:dyDescent="0.3">
      <c r="A13" s="1">
        <v>45460</v>
      </c>
      <c r="B13" t="s">
        <v>42</v>
      </c>
      <c r="C13">
        <v>403</v>
      </c>
      <c r="D13">
        <v>66</v>
      </c>
      <c r="E13">
        <v>382851</v>
      </c>
      <c r="F13">
        <v>3.49</v>
      </c>
      <c r="G13">
        <v>24313</v>
      </c>
      <c r="H13">
        <f>Engagement_Summary[[#This Row],[New_Followers]]-Engagement_Summary[[#This Row],[Unfollows]]</f>
        <v>337</v>
      </c>
      <c r="I13">
        <f>Engagement_Summary[[#This Row],[net followers]]/Engagement_Summary[[#This Row],[Total_Followers]]</f>
        <v>8.80238003818718E-4</v>
      </c>
      <c r="J13">
        <f t="shared" si="0"/>
        <v>6.5284227249957534E-3</v>
      </c>
    </row>
    <row r="14" spans="1:10" x14ac:dyDescent="0.3">
      <c r="A14" s="1">
        <v>45467</v>
      </c>
      <c r="B14" t="s">
        <v>15</v>
      </c>
      <c r="C14">
        <v>911</v>
      </c>
      <c r="D14">
        <v>282</v>
      </c>
      <c r="E14">
        <v>35664</v>
      </c>
      <c r="F14">
        <v>6.92</v>
      </c>
      <c r="G14">
        <v>18050</v>
      </c>
      <c r="H14">
        <f>Engagement_Summary[[#This Row],[New_Followers]]-Engagement_Summary[[#This Row],[Unfollows]]</f>
        <v>629</v>
      </c>
      <c r="I14">
        <f>Engagement_Summary[[#This Row],[net followers]]/Engagement_Summary[[#This Row],[Total_Followers]]</f>
        <v>1.7636832660385824E-2</v>
      </c>
      <c r="J14">
        <f t="shared" si="0"/>
        <v>9.689505363336787E-3</v>
      </c>
    </row>
    <row r="15" spans="1:10" x14ac:dyDescent="0.3">
      <c r="A15" s="1">
        <v>45467</v>
      </c>
      <c r="B15" t="s">
        <v>48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>
        <f>Engagement_Summary[[#This Row],[New_Followers]]-Engagement_Summary[[#This Row],[Unfollows]]</f>
        <v>1670</v>
      </c>
      <c r="I15">
        <f>Engagement_Summary[[#This Row],[net followers]]/Engagement_Summary[[#This Row],[Total_Followers]]</f>
        <v>6.3510173036698994E-2</v>
      </c>
      <c r="J15">
        <f t="shared" si="0"/>
        <v>2.7342414566967843E-2</v>
      </c>
    </row>
    <row r="16" spans="1:10" x14ac:dyDescent="0.3">
      <c r="A16" s="1">
        <v>45467</v>
      </c>
      <c r="B16" t="s">
        <v>26</v>
      </c>
      <c r="C16">
        <v>1238</v>
      </c>
      <c r="D16">
        <v>403</v>
      </c>
      <c r="E16">
        <v>298421</v>
      </c>
      <c r="F16">
        <v>3.5</v>
      </c>
      <c r="G16">
        <v>31280</v>
      </c>
      <c r="H16">
        <f>Engagement_Summary[[#This Row],[New_Followers]]-Engagement_Summary[[#This Row],[Unfollows]]</f>
        <v>835</v>
      </c>
      <c r="I16">
        <f>Engagement_Summary[[#This Row],[net followers]]/Engagement_Summary[[#This Row],[Total_Followers]]</f>
        <v>2.798060458211721E-3</v>
      </c>
      <c r="J16">
        <f t="shared" si="0"/>
        <v>2.7981688718432179E-2</v>
      </c>
    </row>
    <row r="17" spans="1:10" x14ac:dyDescent="0.3">
      <c r="A17" s="1">
        <v>45467</v>
      </c>
      <c r="B17" t="s">
        <v>42</v>
      </c>
      <c r="C17">
        <v>308</v>
      </c>
      <c r="D17">
        <v>431</v>
      </c>
      <c r="E17">
        <v>426184</v>
      </c>
      <c r="F17">
        <v>2.62</v>
      </c>
      <c r="G17">
        <v>1783</v>
      </c>
      <c r="H17">
        <f>Engagement_Summary[[#This Row],[New_Followers]]-Engagement_Summary[[#This Row],[Unfollows]]</f>
        <v>-123</v>
      </c>
      <c r="I17">
        <f>Engagement_Summary[[#This Row],[net followers]]/Engagement_Summary[[#This Row],[Total_Followers]]</f>
        <v>-2.8860773750305035E-4</v>
      </c>
      <c r="J17">
        <f t="shared" si="0"/>
        <v>2.2006541919135886E-2</v>
      </c>
    </row>
    <row r="18" spans="1:10" x14ac:dyDescent="0.3">
      <c r="A18" s="1">
        <v>45474</v>
      </c>
      <c r="B18" t="s">
        <v>15</v>
      </c>
      <c r="C18">
        <v>226</v>
      </c>
      <c r="D18">
        <v>445</v>
      </c>
      <c r="E18">
        <v>419447</v>
      </c>
      <c r="F18">
        <v>9.36</v>
      </c>
      <c r="G18">
        <v>9566</v>
      </c>
      <c r="H18">
        <f>Engagement_Summary[[#This Row],[New_Followers]]-Engagement_Summary[[#This Row],[Unfollows]]</f>
        <v>-219</v>
      </c>
      <c r="I18">
        <f>Engagement_Summary[[#This Row],[net followers]]/Engagement_Summary[[#This Row],[Total_Followers]]</f>
        <v>-5.2211602419375983E-4</v>
      </c>
      <c r="J18">
        <f t="shared" si="0"/>
        <v>6.6244556550497022E-4</v>
      </c>
    </row>
    <row r="19" spans="1:10" x14ac:dyDescent="0.3">
      <c r="A19" s="1">
        <v>45474</v>
      </c>
      <c r="B19" t="s">
        <v>48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>
        <f>Engagement_Summary[[#This Row],[New_Followers]]-Engagement_Summary[[#This Row],[Unfollows]]</f>
        <v>64</v>
      </c>
      <c r="I19">
        <f>Engagement_Summary[[#This Row],[net followers]]/Engagement_Summary[[#This Row],[Total_Followers]]</f>
        <v>2.9088264703208797E-4</v>
      </c>
      <c r="J19">
        <f t="shared" si="0"/>
        <v>-1.7328037155490741E-4</v>
      </c>
    </row>
    <row r="20" spans="1:10" x14ac:dyDescent="0.3">
      <c r="A20" s="1">
        <v>45474</v>
      </c>
      <c r="B20" t="s">
        <v>26</v>
      </c>
      <c r="C20">
        <v>1420</v>
      </c>
      <c r="D20">
        <v>63</v>
      </c>
      <c r="E20">
        <v>315305</v>
      </c>
      <c r="F20">
        <v>6.19</v>
      </c>
      <c r="G20">
        <v>5914</v>
      </c>
      <c r="H20">
        <f>Engagement_Summary[[#This Row],[New_Followers]]-Engagement_Summary[[#This Row],[Unfollows]]</f>
        <v>1357</v>
      </c>
      <c r="I20">
        <f>Engagement_Summary[[#This Row],[net followers]]/Engagement_Summary[[#This Row],[Total_Followers]]</f>
        <v>4.3037693661692649E-3</v>
      </c>
      <c r="J20">
        <f t="shared" si="0"/>
        <v>1.3575119963358643E-3</v>
      </c>
    </row>
    <row r="21" spans="1:10" x14ac:dyDescent="0.3">
      <c r="A21" s="1">
        <v>45474</v>
      </c>
      <c r="B21" t="s">
        <v>42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>
        <f>Engagement_Summary[[#This Row],[New_Followers]]-Engagement_Summary[[#This Row],[Unfollows]]</f>
        <v>91</v>
      </c>
      <c r="I21">
        <f>Engagement_Summary[[#This Row],[net followers]]/Engagement_Summary[[#This Row],[Total_Followers]]</f>
        <v>8.0050669434719116E-4</v>
      </c>
      <c r="J21">
        <f t="shared" si="0"/>
        <v>1.7983862358495145E-3</v>
      </c>
    </row>
    <row r="22" spans="1:10" x14ac:dyDescent="0.3">
      <c r="A22" s="1">
        <v>45481</v>
      </c>
      <c r="B22" t="s">
        <v>15</v>
      </c>
      <c r="C22">
        <v>1757</v>
      </c>
      <c r="D22">
        <v>85</v>
      </c>
      <c r="E22">
        <v>58223</v>
      </c>
      <c r="F22">
        <v>8.74</v>
      </c>
      <c r="G22">
        <v>22728</v>
      </c>
      <c r="H22">
        <f>Engagement_Summary[[#This Row],[New_Followers]]-Engagement_Summary[[#This Row],[Unfollows]]</f>
        <v>1672</v>
      </c>
      <c r="I22">
        <f>Engagement_Summary[[#This Row],[net followers]]/Engagement_Summary[[#This Row],[Total_Followers]]</f>
        <v>2.8717173625543171E-2</v>
      </c>
      <c r="J22">
        <f t="shared" si="0"/>
        <v>1.1273816562019876E-2</v>
      </c>
    </row>
    <row r="23" spans="1:10" x14ac:dyDescent="0.3">
      <c r="A23" s="1">
        <v>45481</v>
      </c>
      <c r="B23" t="s">
        <v>48</v>
      </c>
      <c r="C23">
        <v>350</v>
      </c>
      <c r="D23">
        <v>41</v>
      </c>
      <c r="E23">
        <v>251694</v>
      </c>
      <c r="F23">
        <v>1.91</v>
      </c>
      <c r="G23">
        <v>38610</v>
      </c>
      <c r="H23">
        <f>Engagement_Summary[[#This Row],[New_Followers]]-Engagement_Summary[[#This Row],[Unfollows]]</f>
        <v>309</v>
      </c>
      <c r="I23">
        <f>Engagement_Summary[[#This Row],[net followers]]/Engagement_Summary[[#This Row],[Total_Followers]]</f>
        <v>1.2276812319721568E-3</v>
      </c>
      <c r="J23">
        <f t="shared" si="0"/>
        <v>1.0248453850620841E-2</v>
      </c>
    </row>
    <row r="24" spans="1:10" x14ac:dyDescent="0.3">
      <c r="A24" s="1">
        <v>45481</v>
      </c>
      <c r="B24" t="s">
        <v>26</v>
      </c>
      <c r="C24">
        <v>987</v>
      </c>
      <c r="D24">
        <v>440</v>
      </c>
      <c r="E24">
        <v>389810</v>
      </c>
      <c r="F24">
        <v>4.66</v>
      </c>
      <c r="G24">
        <v>2932</v>
      </c>
      <c r="H24">
        <f>Engagement_Summary[[#This Row],[New_Followers]]-Engagement_Summary[[#This Row],[Unfollows]]</f>
        <v>547</v>
      </c>
      <c r="I24">
        <f>Engagement_Summary[[#This Row],[net followers]]/Engagement_Summary[[#This Row],[Total_Followers]]</f>
        <v>1.40324773607655E-3</v>
      </c>
      <c r="J24">
        <f t="shared" si="0"/>
        <v>1.0449367531197294E-2</v>
      </c>
    </row>
    <row r="25" spans="1:10" x14ac:dyDescent="0.3">
      <c r="A25" s="1">
        <v>45481</v>
      </c>
      <c r="B25" t="s">
        <v>42</v>
      </c>
      <c r="C25">
        <v>883</v>
      </c>
      <c r="D25">
        <v>369</v>
      </c>
      <c r="E25">
        <v>233694</v>
      </c>
      <c r="F25">
        <v>2.88</v>
      </c>
      <c r="G25">
        <v>15071</v>
      </c>
      <c r="H25">
        <f>Engagement_Summary[[#This Row],[New_Followers]]-Engagement_Summary[[#This Row],[Unfollows]]</f>
        <v>514</v>
      </c>
      <c r="I25">
        <f>Engagement_Summary[[#This Row],[net followers]]/Engagement_Summary[[#This Row],[Total_Followers]]</f>
        <v>2.1994574101175039E-3</v>
      </c>
      <c r="J25">
        <f t="shared" si="0"/>
        <v>1.6101287927220702E-3</v>
      </c>
    </row>
    <row r="26" spans="1:10" x14ac:dyDescent="0.3">
      <c r="A26" s="1">
        <v>45488</v>
      </c>
      <c r="B26" t="s">
        <v>15</v>
      </c>
      <c r="C26">
        <v>1960</v>
      </c>
      <c r="D26">
        <v>115</v>
      </c>
      <c r="E26">
        <v>154169</v>
      </c>
      <c r="F26">
        <v>3.74</v>
      </c>
      <c r="G26">
        <v>10740</v>
      </c>
      <c r="H26">
        <f>Engagement_Summary[[#This Row],[New_Followers]]-Engagement_Summary[[#This Row],[Unfollows]]</f>
        <v>1845</v>
      </c>
      <c r="I26">
        <f>Engagement_Summary[[#This Row],[net followers]]/Engagement_Summary[[#This Row],[Total_Followers]]</f>
        <v>1.1967386439556591E-2</v>
      </c>
      <c r="J26">
        <f t="shared" si="0"/>
        <v>5.1900305285835476E-3</v>
      </c>
    </row>
    <row r="27" spans="1:10" x14ac:dyDescent="0.3">
      <c r="A27" s="1">
        <v>45488</v>
      </c>
      <c r="B27" t="s">
        <v>48</v>
      </c>
      <c r="C27">
        <v>170</v>
      </c>
      <c r="D27">
        <v>334</v>
      </c>
      <c r="E27">
        <v>334626</v>
      </c>
      <c r="F27">
        <v>6.44</v>
      </c>
      <c r="G27">
        <v>43420</v>
      </c>
      <c r="H27">
        <f>Engagement_Summary[[#This Row],[New_Followers]]-Engagement_Summary[[#This Row],[Unfollows]]</f>
        <v>-164</v>
      </c>
      <c r="I27">
        <f>Engagement_Summary[[#This Row],[net followers]]/Engagement_Summary[[#This Row],[Total_Followers]]</f>
        <v>-4.9009939454794306E-4</v>
      </c>
      <c r="J27">
        <f t="shared" si="0"/>
        <v>4.5589148183753838E-3</v>
      </c>
    </row>
    <row r="28" spans="1:10" x14ac:dyDescent="0.3">
      <c r="A28" s="1">
        <v>45488</v>
      </c>
      <c r="B28" t="s">
        <v>26</v>
      </c>
      <c r="C28">
        <v>704</v>
      </c>
      <c r="D28">
        <v>275</v>
      </c>
      <c r="E28">
        <v>226002</v>
      </c>
      <c r="F28">
        <v>8.56</v>
      </c>
      <c r="G28">
        <v>32393</v>
      </c>
      <c r="H28">
        <f>Engagement_Summary[[#This Row],[New_Followers]]-Engagement_Summary[[#This Row],[Unfollows]]</f>
        <v>429</v>
      </c>
      <c r="I28">
        <f>Engagement_Summary[[#This Row],[net followers]]/Engagement_Summary[[#This Row],[Total_Followers]]</f>
        <v>1.8982132901478749E-3</v>
      </c>
      <c r="J28">
        <f t="shared" si="0"/>
        <v>4.4585001117188406E-3</v>
      </c>
    </row>
    <row r="29" spans="1:10" x14ac:dyDescent="0.3">
      <c r="A29" s="1">
        <v>45488</v>
      </c>
      <c r="B29" t="s">
        <v>42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>
        <f>Engagement_Summary[[#This Row],[New_Followers]]-Engagement_Summary[[#This Row],[Unfollows]]</f>
        <v>160</v>
      </c>
      <c r="I29">
        <f>Engagement_Summary[[#This Row],[net followers]]/Engagement_Summary[[#This Row],[Total_Followers]]</f>
        <v>1.0211701333265254E-3</v>
      </c>
      <c r="J29">
        <f t="shared" si="0"/>
        <v>8.0976134297548567E-4</v>
      </c>
    </row>
    <row r="30" spans="1:10" x14ac:dyDescent="0.3">
      <c r="A30" s="1">
        <v>45495</v>
      </c>
      <c r="B30" t="s">
        <v>15</v>
      </c>
      <c r="C30">
        <v>508</v>
      </c>
      <c r="D30">
        <v>349</v>
      </c>
      <c r="E30">
        <v>473812</v>
      </c>
      <c r="F30">
        <v>7.88</v>
      </c>
      <c r="G30">
        <v>17328</v>
      </c>
      <c r="H30">
        <f>Engagement_Summary[[#This Row],[New_Followers]]-Engagement_Summary[[#This Row],[Unfollows]]</f>
        <v>159</v>
      </c>
      <c r="I30">
        <f>Engagement_Summary[[#This Row],[net followers]]/Engagement_Summary[[#This Row],[Total_Followers]]</f>
        <v>3.3557613568250698E-4</v>
      </c>
      <c r="J30">
        <f t="shared" si="0"/>
        <v>1.0849865197189691E-3</v>
      </c>
    </row>
    <row r="31" spans="1:10" x14ac:dyDescent="0.3">
      <c r="A31" s="1">
        <v>45495</v>
      </c>
      <c r="B31" t="s">
        <v>48</v>
      </c>
      <c r="C31">
        <v>1391</v>
      </c>
      <c r="D31">
        <v>430</v>
      </c>
      <c r="E31">
        <v>295032</v>
      </c>
      <c r="F31">
        <v>7.86</v>
      </c>
      <c r="G31">
        <v>26067</v>
      </c>
      <c r="H31">
        <f>Engagement_Summary[[#This Row],[New_Followers]]-Engagement_Summary[[#This Row],[Unfollows]]</f>
        <v>961</v>
      </c>
      <c r="I31">
        <f>Engagement_Summary[[#This Row],[net followers]]/Engagement_Summary[[#This Row],[Total_Followers]]</f>
        <v>3.2572737872501967E-3</v>
      </c>
      <c r="J31">
        <f t="shared" si="0"/>
        <v>1.5380066854197431E-3</v>
      </c>
    </row>
    <row r="32" spans="1:10" x14ac:dyDescent="0.3">
      <c r="A32" s="1">
        <v>45495</v>
      </c>
      <c r="B32" t="s">
        <v>26</v>
      </c>
      <c r="C32">
        <v>1701</v>
      </c>
      <c r="D32">
        <v>385</v>
      </c>
      <c r="E32">
        <v>198278</v>
      </c>
      <c r="F32">
        <v>5.34</v>
      </c>
      <c r="G32">
        <v>32763</v>
      </c>
      <c r="H32">
        <f>Engagement_Summary[[#This Row],[New_Followers]]-Engagement_Summary[[#This Row],[Unfollows]]</f>
        <v>1316</v>
      </c>
      <c r="I32">
        <f>Engagement_Summary[[#This Row],[net followers]]/Engagement_Summary[[#This Row],[Total_Followers]]</f>
        <v>6.6371458255580548E-3</v>
      </c>
      <c r="J32">
        <f t="shared" si="0"/>
        <v>3.4099985828302524E-3</v>
      </c>
    </row>
    <row r="33" spans="1:10" x14ac:dyDescent="0.3">
      <c r="A33" s="1">
        <v>45495</v>
      </c>
      <c r="B33" t="s">
        <v>42</v>
      </c>
      <c r="C33">
        <v>804</v>
      </c>
      <c r="D33">
        <v>487</v>
      </c>
      <c r="E33">
        <v>306564</v>
      </c>
      <c r="F33">
        <v>5.52</v>
      </c>
      <c r="G33">
        <v>26452</v>
      </c>
      <c r="H33">
        <f>Engagement_Summary[[#This Row],[New_Followers]]-Engagement_Summary[[#This Row],[Unfollows]]</f>
        <v>317</v>
      </c>
      <c r="I33">
        <f>Engagement_Summary[[#This Row],[net followers]]/Engagement_Summary[[#This Row],[Total_Followers]]</f>
        <v>1.0340418313957282E-3</v>
      </c>
      <c r="J33">
        <f t="shared" si="0"/>
        <v>3.6428204814013265E-3</v>
      </c>
    </row>
    <row r="34" spans="1:10" x14ac:dyDescent="0.3">
      <c r="A34" s="1">
        <v>45502</v>
      </c>
      <c r="B34" t="s">
        <v>15</v>
      </c>
      <c r="C34">
        <v>653</v>
      </c>
      <c r="D34">
        <v>112</v>
      </c>
      <c r="E34">
        <v>23664</v>
      </c>
      <c r="F34">
        <v>4.05</v>
      </c>
      <c r="G34">
        <v>15353</v>
      </c>
      <c r="H34">
        <f>Engagement_Summary[[#This Row],[New_Followers]]-Engagement_Summary[[#This Row],[Unfollows]]</f>
        <v>541</v>
      </c>
      <c r="I34">
        <f>Engagement_Summary[[#This Row],[net followers]]/Engagement_Summary[[#This Row],[Total_Followers]]</f>
        <v>2.2861730899256253E-2</v>
      </c>
      <c r="J34">
        <f t="shared" si="0"/>
        <v>1.0177639518736679E-2</v>
      </c>
    </row>
    <row r="35" spans="1:10" x14ac:dyDescent="0.3">
      <c r="A35" s="1">
        <v>45502</v>
      </c>
      <c r="B35" t="s">
        <v>48</v>
      </c>
      <c r="C35">
        <v>160</v>
      </c>
      <c r="D35">
        <v>478</v>
      </c>
      <c r="E35">
        <v>435034</v>
      </c>
      <c r="F35">
        <v>7.73</v>
      </c>
      <c r="G35">
        <v>4839</v>
      </c>
      <c r="H35">
        <f>Engagement_Summary[[#This Row],[New_Followers]]-Engagement_Summary[[#This Row],[Unfollows]]</f>
        <v>-318</v>
      </c>
      <c r="I35">
        <f>Engagement_Summary[[#This Row],[net followers]]/Engagement_Summary[[#This Row],[Total_Followers]]</f>
        <v>-7.3097734889686784E-4</v>
      </c>
      <c r="J35">
        <f t="shared" si="0"/>
        <v>7.7215984605850385E-3</v>
      </c>
    </row>
    <row r="36" spans="1:10" x14ac:dyDescent="0.3">
      <c r="A36" s="1">
        <v>45502</v>
      </c>
      <c r="B36" t="s">
        <v>26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>
        <f>Engagement_Summary[[#This Row],[New_Followers]]-Engagement_Summary[[#This Row],[Unfollows]]</f>
        <v>1495</v>
      </c>
      <c r="I36">
        <f>Engagement_Summary[[#This Row],[net followers]]/Engagement_Summary[[#This Row],[Total_Followers]]</f>
        <v>5.1986619096302169E-3</v>
      </c>
      <c r="J36">
        <f t="shared" ref="J36:J67" si="1">AVERAGE(I34:I36)</f>
        <v>9.1098051533298682E-3</v>
      </c>
    </row>
    <row r="37" spans="1:10" x14ac:dyDescent="0.3">
      <c r="A37" s="1">
        <v>45502</v>
      </c>
      <c r="B37" t="s">
        <v>42</v>
      </c>
      <c r="C37">
        <v>576</v>
      </c>
      <c r="D37">
        <v>101</v>
      </c>
      <c r="E37">
        <v>62499</v>
      </c>
      <c r="F37">
        <v>3.48</v>
      </c>
      <c r="G37">
        <v>16804</v>
      </c>
      <c r="H37">
        <f>Engagement_Summary[[#This Row],[New_Followers]]-Engagement_Summary[[#This Row],[Unfollows]]</f>
        <v>475</v>
      </c>
      <c r="I37">
        <f>Engagement_Summary[[#This Row],[net followers]]/Engagement_Summary[[#This Row],[Total_Followers]]</f>
        <v>7.600121601945631E-3</v>
      </c>
      <c r="J37">
        <f t="shared" si="1"/>
        <v>4.0226020542263267E-3</v>
      </c>
    </row>
    <row r="38" spans="1:10" x14ac:dyDescent="0.3">
      <c r="A38" s="1">
        <v>45509</v>
      </c>
      <c r="B38" t="s">
        <v>15</v>
      </c>
      <c r="C38">
        <v>645</v>
      </c>
      <c r="D38">
        <v>293</v>
      </c>
      <c r="E38">
        <v>437968</v>
      </c>
      <c r="F38">
        <v>7.83</v>
      </c>
      <c r="G38">
        <v>49303</v>
      </c>
      <c r="H38">
        <f>Engagement_Summary[[#This Row],[New_Followers]]-Engagement_Summary[[#This Row],[Unfollows]]</f>
        <v>352</v>
      </c>
      <c r="I38">
        <f>Engagement_Summary[[#This Row],[net followers]]/Engagement_Summary[[#This Row],[Total_Followers]]</f>
        <v>8.0371168669857163E-4</v>
      </c>
      <c r="J38">
        <f t="shared" si="1"/>
        <v>4.5341650660914732E-3</v>
      </c>
    </row>
    <row r="39" spans="1:10" x14ac:dyDescent="0.3">
      <c r="A39" s="1">
        <v>45509</v>
      </c>
      <c r="B39" t="s">
        <v>48</v>
      </c>
      <c r="C39">
        <v>214</v>
      </c>
      <c r="D39">
        <v>411</v>
      </c>
      <c r="E39">
        <v>125034</v>
      </c>
      <c r="F39">
        <v>6.11</v>
      </c>
      <c r="G39">
        <v>26455</v>
      </c>
      <c r="H39">
        <f>Engagement_Summary[[#This Row],[New_Followers]]-Engagement_Summary[[#This Row],[Unfollows]]</f>
        <v>-197</v>
      </c>
      <c r="I39">
        <f>Engagement_Summary[[#This Row],[net followers]]/Engagement_Summary[[#This Row],[Total_Followers]]</f>
        <v>-1.5755714445670778E-3</v>
      </c>
      <c r="J39">
        <f t="shared" si="1"/>
        <v>2.2760872813590411E-3</v>
      </c>
    </row>
    <row r="40" spans="1:10" x14ac:dyDescent="0.3">
      <c r="A40" s="1">
        <v>45509</v>
      </c>
      <c r="B40" t="s">
        <v>26</v>
      </c>
      <c r="C40">
        <v>826</v>
      </c>
      <c r="D40">
        <v>498</v>
      </c>
      <c r="E40">
        <v>449994</v>
      </c>
      <c r="F40">
        <v>9.43</v>
      </c>
      <c r="G40">
        <v>12384</v>
      </c>
      <c r="H40">
        <f>Engagement_Summary[[#This Row],[New_Followers]]-Engagement_Summary[[#This Row],[Unfollows]]</f>
        <v>328</v>
      </c>
      <c r="I40">
        <f>Engagement_Summary[[#This Row],[net followers]]/Engagement_Summary[[#This Row],[Total_Followers]]</f>
        <v>7.2889860753698943E-4</v>
      </c>
      <c r="J40">
        <f t="shared" si="1"/>
        <v>-1.4320383443838921E-5</v>
      </c>
    </row>
    <row r="41" spans="1:10" x14ac:dyDescent="0.3">
      <c r="A41" s="1">
        <v>45509</v>
      </c>
      <c r="B41" t="s">
        <v>42</v>
      </c>
      <c r="C41">
        <v>460</v>
      </c>
      <c r="D41">
        <v>141</v>
      </c>
      <c r="E41">
        <v>320650</v>
      </c>
      <c r="F41">
        <v>4.04</v>
      </c>
      <c r="G41">
        <v>49372</v>
      </c>
      <c r="H41">
        <f>Engagement_Summary[[#This Row],[New_Followers]]-Engagement_Summary[[#This Row],[Unfollows]]</f>
        <v>319</v>
      </c>
      <c r="I41">
        <f>Engagement_Summary[[#This Row],[net followers]]/Engagement_Summary[[#This Row],[Total_Followers]]</f>
        <v>9.9485420240137223E-4</v>
      </c>
      <c r="J41">
        <f t="shared" si="1"/>
        <v>4.9393788457094617E-5</v>
      </c>
    </row>
    <row r="42" spans="1:10" x14ac:dyDescent="0.3">
      <c r="A42" s="1">
        <v>45516</v>
      </c>
      <c r="B42" t="s">
        <v>15</v>
      </c>
      <c r="C42">
        <v>1528</v>
      </c>
      <c r="D42">
        <v>203</v>
      </c>
      <c r="E42">
        <v>489188</v>
      </c>
      <c r="F42">
        <v>6.23</v>
      </c>
      <c r="G42">
        <v>47101</v>
      </c>
      <c r="H42">
        <f>Engagement_Summary[[#This Row],[New_Followers]]-Engagement_Summary[[#This Row],[Unfollows]]</f>
        <v>1325</v>
      </c>
      <c r="I42">
        <f>Engagement_Summary[[#This Row],[net followers]]/Engagement_Summary[[#This Row],[Total_Followers]]</f>
        <v>2.7085701202809553E-3</v>
      </c>
      <c r="J42">
        <f t="shared" si="1"/>
        <v>1.4774409767397724E-3</v>
      </c>
    </row>
    <row r="43" spans="1:10" x14ac:dyDescent="0.3">
      <c r="A43" s="1">
        <v>45516</v>
      </c>
      <c r="B43" t="s">
        <v>48</v>
      </c>
      <c r="C43">
        <v>1534</v>
      </c>
      <c r="D43">
        <v>200</v>
      </c>
      <c r="E43">
        <v>307612</v>
      </c>
      <c r="F43">
        <v>6.01</v>
      </c>
      <c r="G43">
        <v>37903</v>
      </c>
      <c r="H43">
        <f>Engagement_Summary[[#This Row],[New_Followers]]-Engagement_Summary[[#This Row],[Unfollows]]</f>
        <v>1334</v>
      </c>
      <c r="I43">
        <f>Engagement_Summary[[#This Row],[net followers]]/Engagement_Summary[[#This Row],[Total_Followers]]</f>
        <v>4.3366318609156986E-3</v>
      </c>
      <c r="J43">
        <f t="shared" si="1"/>
        <v>2.6800187278660085E-3</v>
      </c>
    </row>
    <row r="44" spans="1:10" x14ac:dyDescent="0.3">
      <c r="A44" s="1">
        <v>45516</v>
      </c>
      <c r="B44" t="s">
        <v>26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>
        <f>Engagement_Summary[[#This Row],[New_Followers]]-Engagement_Summary[[#This Row],[Unfollows]]</f>
        <v>37</v>
      </c>
      <c r="I44">
        <f>Engagement_Summary[[#This Row],[net followers]]/Engagement_Summary[[#This Row],[Total_Followers]]</f>
        <v>8.5080354946042954E-5</v>
      </c>
      <c r="J44">
        <f t="shared" si="1"/>
        <v>2.3767607787142323E-3</v>
      </c>
    </row>
    <row r="45" spans="1:10" x14ac:dyDescent="0.3">
      <c r="A45" s="1">
        <v>45516</v>
      </c>
      <c r="B45" t="s">
        <v>42</v>
      </c>
      <c r="C45">
        <v>1210</v>
      </c>
      <c r="D45">
        <v>178</v>
      </c>
      <c r="E45">
        <v>102042</v>
      </c>
      <c r="F45">
        <v>5.42</v>
      </c>
      <c r="G45">
        <v>6915</v>
      </c>
      <c r="H45">
        <f>Engagement_Summary[[#This Row],[New_Followers]]-Engagement_Summary[[#This Row],[Unfollows]]</f>
        <v>1032</v>
      </c>
      <c r="I45">
        <f>Engagement_Summary[[#This Row],[net followers]]/Engagement_Summary[[#This Row],[Total_Followers]]</f>
        <v>1.011348268360087E-2</v>
      </c>
      <c r="J45">
        <f t="shared" si="1"/>
        <v>4.8450649664875372E-3</v>
      </c>
    </row>
    <row r="46" spans="1:10" x14ac:dyDescent="0.3">
      <c r="A46" s="1">
        <v>45523</v>
      </c>
      <c r="B46" t="s">
        <v>15</v>
      </c>
      <c r="C46">
        <v>215</v>
      </c>
      <c r="D46">
        <v>139</v>
      </c>
      <c r="E46">
        <v>325444</v>
      </c>
      <c r="F46">
        <v>3.25</v>
      </c>
      <c r="G46">
        <v>35501</v>
      </c>
      <c r="H46">
        <f>Engagement_Summary[[#This Row],[New_Followers]]-Engagement_Summary[[#This Row],[Unfollows]]</f>
        <v>76</v>
      </c>
      <c r="I46">
        <f>Engagement_Summary[[#This Row],[net followers]]/Engagement_Summary[[#This Row],[Total_Followers]]</f>
        <v>2.335271198731579E-4</v>
      </c>
      <c r="J46">
        <f t="shared" si="1"/>
        <v>3.4773633861400234E-3</v>
      </c>
    </row>
    <row r="47" spans="1:10" x14ac:dyDescent="0.3">
      <c r="A47" s="1">
        <v>45523</v>
      </c>
      <c r="B47" t="s">
        <v>48</v>
      </c>
      <c r="C47">
        <v>1078</v>
      </c>
      <c r="D47">
        <v>20</v>
      </c>
      <c r="E47">
        <v>183924</v>
      </c>
      <c r="F47">
        <v>8.84</v>
      </c>
      <c r="G47">
        <v>14203</v>
      </c>
      <c r="H47">
        <f>Engagement_Summary[[#This Row],[New_Followers]]-Engagement_Summary[[#This Row],[Unfollows]]</f>
        <v>1058</v>
      </c>
      <c r="I47">
        <f>Engagement_Summary[[#This Row],[net followers]]/Engagement_Summary[[#This Row],[Total_Followers]]</f>
        <v>5.7523759813836147E-3</v>
      </c>
      <c r="J47">
        <f t="shared" si="1"/>
        <v>5.3664619282858808E-3</v>
      </c>
    </row>
    <row r="48" spans="1:10" x14ac:dyDescent="0.3">
      <c r="A48" s="1">
        <v>45523</v>
      </c>
      <c r="B48" t="s">
        <v>26</v>
      </c>
      <c r="C48">
        <v>1751</v>
      </c>
      <c r="D48">
        <v>86</v>
      </c>
      <c r="E48">
        <v>188655</v>
      </c>
      <c r="F48">
        <v>7.24</v>
      </c>
      <c r="G48">
        <v>22206</v>
      </c>
      <c r="H48">
        <f>Engagement_Summary[[#This Row],[New_Followers]]-Engagement_Summary[[#This Row],[Unfollows]]</f>
        <v>1665</v>
      </c>
      <c r="I48">
        <f>Engagement_Summary[[#This Row],[net followers]]/Engagement_Summary[[#This Row],[Total_Followers]]</f>
        <v>8.825634093981077E-3</v>
      </c>
      <c r="J48">
        <f t="shared" si="1"/>
        <v>4.937179065079283E-3</v>
      </c>
    </row>
    <row r="49" spans="1:10" x14ac:dyDescent="0.3">
      <c r="A49" s="1">
        <v>45523</v>
      </c>
      <c r="B49" t="s">
        <v>42</v>
      </c>
      <c r="C49">
        <v>221</v>
      </c>
      <c r="D49">
        <v>31</v>
      </c>
      <c r="E49">
        <v>87443</v>
      </c>
      <c r="F49">
        <v>6.19</v>
      </c>
      <c r="G49">
        <v>10283</v>
      </c>
      <c r="H49">
        <f>Engagement_Summary[[#This Row],[New_Followers]]-Engagement_Summary[[#This Row],[Unfollows]]</f>
        <v>190</v>
      </c>
      <c r="I49">
        <f>Engagement_Summary[[#This Row],[net followers]]/Engagement_Summary[[#This Row],[Total_Followers]]</f>
        <v>2.1728440241071327E-3</v>
      </c>
      <c r="J49">
        <f t="shared" si="1"/>
        <v>5.5836180331572749E-3</v>
      </c>
    </row>
    <row r="50" spans="1:10" x14ac:dyDescent="0.3">
      <c r="A50" s="1">
        <v>45530</v>
      </c>
      <c r="B50" t="s">
        <v>15</v>
      </c>
      <c r="C50">
        <v>1685</v>
      </c>
      <c r="D50">
        <v>76</v>
      </c>
      <c r="E50">
        <v>453799</v>
      </c>
      <c r="F50">
        <v>5.71</v>
      </c>
      <c r="G50">
        <v>24913</v>
      </c>
      <c r="H50">
        <f>Engagement_Summary[[#This Row],[New_Followers]]-Engagement_Summary[[#This Row],[Unfollows]]</f>
        <v>1609</v>
      </c>
      <c r="I50">
        <f>Engagement_Summary[[#This Row],[net followers]]/Engagement_Summary[[#This Row],[Total_Followers]]</f>
        <v>3.5456226214689766E-3</v>
      </c>
      <c r="J50">
        <f t="shared" si="1"/>
        <v>4.848033579852396E-3</v>
      </c>
    </row>
    <row r="51" spans="1:10" x14ac:dyDescent="0.3">
      <c r="A51" s="1">
        <v>45530</v>
      </c>
      <c r="B51" t="s">
        <v>48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>
        <f>Engagement_Summary[[#This Row],[New_Followers]]-Engagement_Summary[[#This Row],[Unfollows]]</f>
        <v>37</v>
      </c>
      <c r="I51">
        <f>Engagement_Summary[[#This Row],[net followers]]/Engagement_Summary[[#This Row],[Total_Followers]]</f>
        <v>9.7527544941747058E-5</v>
      </c>
      <c r="J51">
        <f t="shared" si="1"/>
        <v>1.9386647301726189E-3</v>
      </c>
    </row>
    <row r="52" spans="1:10" x14ac:dyDescent="0.3">
      <c r="A52" s="1">
        <v>45530</v>
      </c>
      <c r="B52" t="s">
        <v>26</v>
      </c>
      <c r="C52">
        <v>1300</v>
      </c>
      <c r="D52">
        <v>71</v>
      </c>
      <c r="E52">
        <v>186454</v>
      </c>
      <c r="F52">
        <v>3.91</v>
      </c>
      <c r="G52">
        <v>9942</v>
      </c>
      <c r="H52">
        <f>Engagement_Summary[[#This Row],[New_Followers]]-Engagement_Summary[[#This Row],[Unfollows]]</f>
        <v>1229</v>
      </c>
      <c r="I52">
        <f>Engagement_Summary[[#This Row],[net followers]]/Engagement_Summary[[#This Row],[Total_Followers]]</f>
        <v>6.5914381026955706E-3</v>
      </c>
      <c r="J52">
        <f t="shared" si="1"/>
        <v>3.4115294230354313E-3</v>
      </c>
    </row>
    <row r="53" spans="1:10" x14ac:dyDescent="0.3">
      <c r="A53" s="1">
        <v>45530</v>
      </c>
      <c r="B53" t="s">
        <v>42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f>Engagement_Summary[[#This Row],[New_Followers]]-Engagement_Summary[[#This Row],[Unfollows]]</f>
        <v>28</v>
      </c>
      <c r="I53">
        <f>Engagement_Summary[[#This Row],[net followers]]/Engagement_Summary[[#This Row],[Total_Followers]]</f>
        <v>1.1713324743561855E-4</v>
      </c>
      <c r="J53">
        <f t="shared" si="1"/>
        <v>2.2686996316909785E-3</v>
      </c>
    </row>
    <row r="54" spans="1:10" x14ac:dyDescent="0.3">
      <c r="A54" s="1">
        <v>45537</v>
      </c>
      <c r="B54" t="s">
        <v>15</v>
      </c>
      <c r="C54">
        <v>1429</v>
      </c>
      <c r="D54">
        <v>182</v>
      </c>
      <c r="E54">
        <v>101332</v>
      </c>
      <c r="F54">
        <v>7.16</v>
      </c>
      <c r="G54">
        <v>37829</v>
      </c>
      <c r="H54">
        <f>Engagement_Summary[[#This Row],[New_Followers]]-Engagement_Summary[[#This Row],[Unfollows]]</f>
        <v>1247</v>
      </c>
      <c r="I54">
        <f>Engagement_Summary[[#This Row],[net followers]]/Engagement_Summary[[#This Row],[Total_Followers]]</f>
        <v>1.2306082974775983E-2</v>
      </c>
      <c r="J54">
        <f t="shared" si="1"/>
        <v>6.338218108302391E-3</v>
      </c>
    </row>
    <row r="55" spans="1:10" x14ac:dyDescent="0.3">
      <c r="A55" s="1">
        <v>45537</v>
      </c>
      <c r="B55" t="s">
        <v>48</v>
      </c>
      <c r="C55">
        <v>1520</v>
      </c>
      <c r="D55">
        <v>475</v>
      </c>
      <c r="E55">
        <v>496982</v>
      </c>
      <c r="F55">
        <v>6.41</v>
      </c>
      <c r="G55">
        <v>24384</v>
      </c>
      <c r="H55">
        <f>Engagement_Summary[[#This Row],[New_Followers]]-Engagement_Summary[[#This Row],[Unfollows]]</f>
        <v>1045</v>
      </c>
      <c r="I55">
        <f>Engagement_Summary[[#This Row],[net followers]]/Engagement_Summary[[#This Row],[Total_Followers]]</f>
        <v>2.1026918479944948E-3</v>
      </c>
      <c r="J55">
        <f t="shared" si="1"/>
        <v>4.8419693567353659E-3</v>
      </c>
    </row>
    <row r="56" spans="1:10" x14ac:dyDescent="0.3">
      <c r="A56" s="1">
        <v>45537</v>
      </c>
      <c r="B56" t="s">
        <v>26</v>
      </c>
      <c r="C56">
        <v>557</v>
      </c>
      <c r="D56">
        <v>360</v>
      </c>
      <c r="E56">
        <v>318779</v>
      </c>
      <c r="F56">
        <v>8.02</v>
      </c>
      <c r="G56">
        <v>25797</v>
      </c>
      <c r="H56">
        <f>Engagement_Summary[[#This Row],[New_Followers]]-Engagement_Summary[[#This Row],[Unfollows]]</f>
        <v>197</v>
      </c>
      <c r="I56">
        <f>Engagement_Summary[[#This Row],[net followers]]/Engagement_Summary[[#This Row],[Total_Followers]]</f>
        <v>6.1798299135137512E-4</v>
      </c>
      <c r="J56">
        <f t="shared" si="1"/>
        <v>5.0089192713739508E-3</v>
      </c>
    </row>
    <row r="57" spans="1:10" x14ac:dyDescent="0.3">
      <c r="A57" s="1">
        <v>45537</v>
      </c>
      <c r="B57" t="s">
        <v>42</v>
      </c>
      <c r="C57">
        <v>728</v>
      </c>
      <c r="D57">
        <v>395</v>
      </c>
      <c r="E57">
        <v>370971</v>
      </c>
      <c r="F57">
        <v>3.86</v>
      </c>
      <c r="G57">
        <v>12646</v>
      </c>
      <c r="H57">
        <f>Engagement_Summary[[#This Row],[New_Followers]]-Engagement_Summary[[#This Row],[Unfollows]]</f>
        <v>333</v>
      </c>
      <c r="I57">
        <f>Engagement_Summary[[#This Row],[net followers]]/Engagement_Summary[[#This Row],[Total_Followers]]</f>
        <v>8.9764429025449434E-4</v>
      </c>
      <c r="J57">
        <f t="shared" si="1"/>
        <v>1.2061063765334548E-3</v>
      </c>
    </row>
    <row r="58" spans="1:10" x14ac:dyDescent="0.3">
      <c r="A58" s="1">
        <v>45544</v>
      </c>
      <c r="B58" t="s">
        <v>15</v>
      </c>
      <c r="C58">
        <v>1592</v>
      </c>
      <c r="D58">
        <v>20</v>
      </c>
      <c r="E58">
        <v>378054</v>
      </c>
      <c r="F58">
        <v>9.09</v>
      </c>
      <c r="G58">
        <v>26663</v>
      </c>
      <c r="H58">
        <f>Engagement_Summary[[#This Row],[New_Followers]]-Engagement_Summary[[#This Row],[Unfollows]]</f>
        <v>1572</v>
      </c>
      <c r="I58">
        <f>Engagement_Summary[[#This Row],[net followers]]/Engagement_Summary[[#This Row],[Total_Followers]]</f>
        <v>4.1581361392816901E-3</v>
      </c>
      <c r="J58">
        <f t="shared" si="1"/>
        <v>1.8912544736291864E-3</v>
      </c>
    </row>
    <row r="59" spans="1:10" x14ac:dyDescent="0.3">
      <c r="A59" s="1">
        <v>45544</v>
      </c>
      <c r="B59" t="s">
        <v>48</v>
      </c>
      <c r="C59">
        <v>1842</v>
      </c>
      <c r="D59">
        <v>414</v>
      </c>
      <c r="E59">
        <v>307524</v>
      </c>
      <c r="F59">
        <v>1.76</v>
      </c>
      <c r="G59">
        <v>40478</v>
      </c>
      <c r="H59">
        <f>Engagement_Summary[[#This Row],[New_Followers]]-Engagement_Summary[[#This Row],[Unfollows]]</f>
        <v>1428</v>
      </c>
      <c r="I59">
        <f>Engagement_Summary[[#This Row],[net followers]]/Engagement_Summary[[#This Row],[Total_Followers]]</f>
        <v>4.6435400163889647E-3</v>
      </c>
      <c r="J59">
        <f t="shared" si="1"/>
        <v>3.2331068153083828E-3</v>
      </c>
    </row>
    <row r="60" spans="1:10" x14ac:dyDescent="0.3">
      <c r="A60" s="1">
        <v>45544</v>
      </c>
      <c r="B60" t="s">
        <v>26</v>
      </c>
      <c r="C60">
        <v>751</v>
      </c>
      <c r="D60">
        <v>491</v>
      </c>
      <c r="E60">
        <v>434047</v>
      </c>
      <c r="F60">
        <v>9.24</v>
      </c>
      <c r="G60">
        <v>15476</v>
      </c>
      <c r="H60">
        <f>Engagement_Summary[[#This Row],[New_Followers]]-Engagement_Summary[[#This Row],[Unfollows]]</f>
        <v>260</v>
      </c>
      <c r="I60">
        <f>Engagement_Summary[[#This Row],[net followers]]/Engagement_Summary[[#This Row],[Total_Followers]]</f>
        <v>5.990134708914012E-4</v>
      </c>
      <c r="J60">
        <f t="shared" si="1"/>
        <v>3.1335632088540185E-3</v>
      </c>
    </row>
    <row r="61" spans="1:10" x14ac:dyDescent="0.3">
      <c r="A61" s="1">
        <v>45544</v>
      </c>
      <c r="B61" t="s">
        <v>42</v>
      </c>
      <c r="C61">
        <v>1409</v>
      </c>
      <c r="D61">
        <v>309</v>
      </c>
      <c r="E61">
        <v>64583</v>
      </c>
      <c r="F61">
        <v>8.99</v>
      </c>
      <c r="G61">
        <v>10217</v>
      </c>
      <c r="H61">
        <f>Engagement_Summary[[#This Row],[New_Followers]]-Engagement_Summary[[#This Row],[Unfollows]]</f>
        <v>1100</v>
      </c>
      <c r="I61">
        <f>Engagement_Summary[[#This Row],[net followers]]/Engagement_Summary[[#This Row],[Total_Followers]]</f>
        <v>1.7032345973398571E-2</v>
      </c>
      <c r="J61">
        <f t="shared" si="1"/>
        <v>7.4249664868929789E-3</v>
      </c>
    </row>
    <row r="62" spans="1:10" x14ac:dyDescent="0.3">
      <c r="A62" s="1">
        <v>45551</v>
      </c>
      <c r="B62" t="s">
        <v>15</v>
      </c>
      <c r="C62">
        <v>778</v>
      </c>
      <c r="D62">
        <v>401</v>
      </c>
      <c r="E62">
        <v>50793</v>
      </c>
      <c r="F62">
        <v>3.4</v>
      </c>
      <c r="G62">
        <v>21939</v>
      </c>
      <c r="H62">
        <f>Engagement_Summary[[#This Row],[New_Followers]]-Engagement_Summary[[#This Row],[Unfollows]]</f>
        <v>377</v>
      </c>
      <c r="I62">
        <f>Engagement_Summary[[#This Row],[net followers]]/Engagement_Summary[[#This Row],[Total_Followers]]</f>
        <v>7.4222825979957871E-3</v>
      </c>
      <c r="J62">
        <f t="shared" si="1"/>
        <v>8.3512140140952536E-3</v>
      </c>
    </row>
    <row r="63" spans="1:10" x14ac:dyDescent="0.3">
      <c r="A63" s="1">
        <v>45551</v>
      </c>
      <c r="B63" t="s">
        <v>48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>
        <f>Engagement_Summary[[#This Row],[New_Followers]]-Engagement_Summary[[#This Row],[Unfollows]]</f>
        <v>98</v>
      </c>
      <c r="I63">
        <f>Engagement_Summary[[#This Row],[net followers]]/Engagement_Summary[[#This Row],[Total_Followers]]</f>
        <v>2.0668041724136477E-4</v>
      </c>
      <c r="J63">
        <f t="shared" si="1"/>
        <v>8.2204363295452412E-3</v>
      </c>
    </row>
    <row r="64" spans="1:10" x14ac:dyDescent="0.3">
      <c r="A64" s="1">
        <v>45551</v>
      </c>
      <c r="B64" t="s">
        <v>26</v>
      </c>
      <c r="C64">
        <v>1472</v>
      </c>
      <c r="D64">
        <v>347</v>
      </c>
      <c r="E64">
        <v>392355</v>
      </c>
      <c r="F64">
        <v>8.59</v>
      </c>
      <c r="G64">
        <v>30270</v>
      </c>
      <c r="H64">
        <f>Engagement_Summary[[#This Row],[New_Followers]]-Engagement_Summary[[#This Row],[Unfollows]]</f>
        <v>1125</v>
      </c>
      <c r="I64">
        <f>Engagement_Summary[[#This Row],[net followers]]/Engagement_Summary[[#This Row],[Total_Followers]]</f>
        <v>2.8673012960201858E-3</v>
      </c>
      <c r="J64">
        <f t="shared" si="1"/>
        <v>3.4987547704191124E-3</v>
      </c>
    </row>
    <row r="65" spans="1:10" x14ac:dyDescent="0.3">
      <c r="A65" s="1">
        <v>45551</v>
      </c>
      <c r="B65" t="s">
        <v>42</v>
      </c>
      <c r="C65">
        <v>123</v>
      </c>
      <c r="D65">
        <v>155</v>
      </c>
      <c r="E65">
        <v>119934</v>
      </c>
      <c r="F65">
        <v>3.5</v>
      </c>
      <c r="G65">
        <v>5442</v>
      </c>
      <c r="H65">
        <f>Engagement_Summary[[#This Row],[New_Followers]]-Engagement_Summary[[#This Row],[Unfollows]]</f>
        <v>-32</v>
      </c>
      <c r="I65">
        <f>Engagement_Summary[[#This Row],[net followers]]/Engagement_Summary[[#This Row],[Total_Followers]]</f>
        <v>-2.6681341404439108E-4</v>
      </c>
      <c r="J65">
        <f t="shared" si="1"/>
        <v>9.3572276640571975E-4</v>
      </c>
    </row>
    <row r="66" spans="1:10" x14ac:dyDescent="0.3">
      <c r="A66" s="1">
        <v>45558</v>
      </c>
      <c r="B66" t="s">
        <v>15</v>
      </c>
      <c r="C66">
        <v>817</v>
      </c>
      <c r="D66">
        <v>151</v>
      </c>
      <c r="E66">
        <v>422625</v>
      </c>
      <c r="F66">
        <v>2.36</v>
      </c>
      <c r="G66">
        <v>1083</v>
      </c>
      <c r="H66">
        <f>Engagement_Summary[[#This Row],[New_Followers]]-Engagement_Summary[[#This Row],[Unfollows]]</f>
        <v>666</v>
      </c>
      <c r="I66">
        <f>Engagement_Summary[[#This Row],[net followers]]/Engagement_Summary[[#This Row],[Total_Followers]]</f>
        <v>1.5758651286601596E-3</v>
      </c>
      <c r="J66">
        <f t="shared" si="1"/>
        <v>1.3921176702119849E-3</v>
      </c>
    </row>
    <row r="67" spans="1:10" x14ac:dyDescent="0.3">
      <c r="A67" s="1">
        <v>45558</v>
      </c>
      <c r="B67" t="s">
        <v>48</v>
      </c>
      <c r="C67">
        <v>198</v>
      </c>
      <c r="D67">
        <v>217</v>
      </c>
      <c r="E67">
        <v>239753</v>
      </c>
      <c r="F67">
        <v>7.36</v>
      </c>
      <c r="G67">
        <v>11901</v>
      </c>
      <c r="H67">
        <f>Engagement_Summary[[#This Row],[New_Followers]]-Engagement_Summary[[#This Row],[Unfollows]]</f>
        <v>-19</v>
      </c>
      <c r="I67">
        <f>Engagement_Summary[[#This Row],[net followers]]/Engagement_Summary[[#This Row],[Total_Followers]]</f>
        <v>-7.9248226299566635E-5</v>
      </c>
      <c r="J67">
        <f t="shared" si="1"/>
        <v>4.0993449610540067E-4</v>
      </c>
    </row>
    <row r="68" spans="1:10" x14ac:dyDescent="0.3">
      <c r="A68" s="1">
        <v>45558</v>
      </c>
      <c r="B68" t="s">
        <v>26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>
        <f>Engagement_Summary[[#This Row],[New_Followers]]-Engagement_Summary[[#This Row],[Unfollows]]</f>
        <v>1680</v>
      </c>
      <c r="I68">
        <f>Engagement_Summary[[#This Row],[net followers]]/Engagement_Summary[[#This Row],[Total_Followers]]</f>
        <v>6.2566104068286429E-3</v>
      </c>
      <c r="J68">
        <f t="shared" ref="J68:J99" si="2">AVERAGE(I66:I68)</f>
        <v>2.5844091030630787E-3</v>
      </c>
    </row>
    <row r="69" spans="1:10" x14ac:dyDescent="0.3">
      <c r="A69" s="1">
        <v>45558</v>
      </c>
      <c r="B69" t="s">
        <v>42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>
        <f>Engagement_Summary[[#This Row],[New_Followers]]-Engagement_Summary[[#This Row],[Unfollows]]</f>
        <v>1006</v>
      </c>
      <c r="I69">
        <f>Engagement_Summary[[#This Row],[net followers]]/Engagement_Summary[[#This Row],[Total_Followers]]</f>
        <v>1.592351646960128E-2</v>
      </c>
      <c r="J69">
        <f t="shared" si="2"/>
        <v>7.3669595500434519E-3</v>
      </c>
    </row>
    <row r="70" spans="1:10" x14ac:dyDescent="0.3">
      <c r="A70" s="1">
        <v>45565</v>
      </c>
      <c r="B70" t="s">
        <v>15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>Engagement_Summary[[#This Row],[New_Followers]]-Engagement_Summary[[#This Row],[Unfollows]]</f>
        <v>1025</v>
      </c>
      <c r="I70">
        <f>Engagement_Summary[[#This Row],[net followers]]/Engagement_Summary[[#This Row],[Total_Followers]]</f>
        <v>2.7682576721248606E-3</v>
      </c>
      <c r="J70">
        <f t="shared" si="2"/>
        <v>8.316128182851594E-3</v>
      </c>
    </row>
    <row r="71" spans="1:10" x14ac:dyDescent="0.3">
      <c r="A71" s="1">
        <v>45565</v>
      </c>
      <c r="B71" t="s">
        <v>48</v>
      </c>
      <c r="C71">
        <v>250</v>
      </c>
      <c r="D71">
        <v>429</v>
      </c>
      <c r="E71">
        <v>453423</v>
      </c>
      <c r="F71">
        <v>1.77</v>
      </c>
      <c r="G71">
        <v>2315</v>
      </c>
      <c r="H71">
        <f>Engagement_Summary[[#This Row],[New_Followers]]-Engagement_Summary[[#This Row],[Unfollows]]</f>
        <v>-179</v>
      </c>
      <c r="I71">
        <f>Engagement_Summary[[#This Row],[net followers]]/Engagement_Summary[[#This Row],[Total_Followers]]</f>
        <v>-3.9477485703195471E-4</v>
      </c>
      <c r="J71">
        <f t="shared" si="2"/>
        <v>6.0989997615647279E-3</v>
      </c>
    </row>
    <row r="72" spans="1:10" x14ac:dyDescent="0.3">
      <c r="A72" s="1">
        <v>45565</v>
      </c>
      <c r="B72" t="s">
        <v>26</v>
      </c>
      <c r="C72">
        <v>752</v>
      </c>
      <c r="D72">
        <v>153</v>
      </c>
      <c r="E72">
        <v>64906</v>
      </c>
      <c r="F72">
        <v>2.09</v>
      </c>
      <c r="G72">
        <v>12148</v>
      </c>
      <c r="H72">
        <f>Engagement_Summary[[#This Row],[New_Followers]]-Engagement_Summary[[#This Row],[Unfollows]]</f>
        <v>599</v>
      </c>
      <c r="I72">
        <f>Engagement_Summary[[#This Row],[net followers]]/Engagement_Summary[[#This Row],[Total_Followers]]</f>
        <v>9.2287307798970819E-3</v>
      </c>
      <c r="J72">
        <f t="shared" si="2"/>
        <v>3.8674045316633293E-3</v>
      </c>
    </row>
    <row r="73" spans="1:10" x14ac:dyDescent="0.3">
      <c r="A73" s="1">
        <v>45565</v>
      </c>
      <c r="B73" t="s">
        <v>42</v>
      </c>
      <c r="C73">
        <v>1918</v>
      </c>
      <c r="D73">
        <v>212</v>
      </c>
      <c r="E73">
        <v>94360</v>
      </c>
      <c r="F73">
        <v>7.36</v>
      </c>
      <c r="G73">
        <v>36851</v>
      </c>
      <c r="H73">
        <f>Engagement_Summary[[#This Row],[New_Followers]]-Engagement_Summary[[#This Row],[Unfollows]]</f>
        <v>1706</v>
      </c>
      <c r="I73">
        <f>Engagement_Summary[[#This Row],[net followers]]/Engagement_Summary[[#This Row],[Total_Followers]]</f>
        <v>1.8079694785926241E-2</v>
      </c>
      <c r="J73">
        <f t="shared" si="2"/>
        <v>8.9712169029304567E-3</v>
      </c>
    </row>
    <row r="74" spans="1:10" x14ac:dyDescent="0.3">
      <c r="A74" s="1">
        <v>45572</v>
      </c>
      <c r="B74" t="s">
        <v>15</v>
      </c>
      <c r="C74">
        <v>1939</v>
      </c>
      <c r="D74">
        <v>67</v>
      </c>
      <c r="E74">
        <v>187183</v>
      </c>
      <c r="F74">
        <v>6.25</v>
      </c>
      <c r="G74">
        <v>41215</v>
      </c>
      <c r="H74">
        <f>Engagement_Summary[[#This Row],[New_Followers]]-Engagement_Summary[[#This Row],[Unfollows]]</f>
        <v>1872</v>
      </c>
      <c r="I74">
        <f>Engagement_Summary[[#This Row],[net followers]]/Engagement_Summary[[#This Row],[Total_Followers]]</f>
        <v>1.0000908202133741E-2</v>
      </c>
      <c r="J74">
        <f t="shared" si="2"/>
        <v>1.2436444589319022E-2</v>
      </c>
    </row>
    <row r="75" spans="1:10" x14ac:dyDescent="0.3">
      <c r="A75" s="1">
        <v>45572</v>
      </c>
      <c r="B75" t="s">
        <v>48</v>
      </c>
      <c r="C75">
        <v>1929</v>
      </c>
      <c r="D75">
        <v>267</v>
      </c>
      <c r="E75">
        <v>379363</v>
      </c>
      <c r="F75">
        <v>1.75</v>
      </c>
      <c r="G75">
        <v>43836</v>
      </c>
      <c r="H75">
        <f>Engagement_Summary[[#This Row],[New_Followers]]-Engagement_Summary[[#This Row],[Unfollows]]</f>
        <v>1662</v>
      </c>
      <c r="I75">
        <f>Engagement_Summary[[#This Row],[net followers]]/Engagement_Summary[[#This Row],[Total_Followers]]</f>
        <v>4.3810281972675247E-3</v>
      </c>
      <c r="J75">
        <f t="shared" si="2"/>
        <v>1.0820543728442503E-2</v>
      </c>
    </row>
    <row r="76" spans="1:10" x14ac:dyDescent="0.3">
      <c r="A76" s="1">
        <v>45572</v>
      </c>
      <c r="B76" t="s">
        <v>26</v>
      </c>
      <c r="C76">
        <v>437</v>
      </c>
      <c r="D76">
        <v>330</v>
      </c>
      <c r="E76">
        <v>476486</v>
      </c>
      <c r="F76">
        <v>4.97</v>
      </c>
      <c r="G76">
        <v>4509</v>
      </c>
      <c r="H76">
        <f>Engagement_Summary[[#This Row],[New_Followers]]-Engagement_Summary[[#This Row],[Unfollows]]</f>
        <v>107</v>
      </c>
      <c r="I76">
        <f>Engagement_Summary[[#This Row],[net followers]]/Engagement_Summary[[#This Row],[Total_Followers]]</f>
        <v>2.2456063766826309E-4</v>
      </c>
      <c r="J76">
        <f t="shared" si="2"/>
        <v>4.8688323456898431E-3</v>
      </c>
    </row>
    <row r="77" spans="1:10" x14ac:dyDescent="0.3">
      <c r="A77" s="1">
        <v>45572</v>
      </c>
      <c r="B77" t="s">
        <v>42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>
        <f>Engagement_Summary[[#This Row],[New_Followers]]-Engagement_Summary[[#This Row],[Unfollows]]</f>
        <v>118</v>
      </c>
      <c r="I77">
        <f>Engagement_Summary[[#This Row],[net followers]]/Engagement_Summary[[#This Row],[Total_Followers]]</f>
        <v>1.0019784829366461E-3</v>
      </c>
      <c r="J77">
        <f t="shared" si="2"/>
        <v>1.8691891059574781E-3</v>
      </c>
    </row>
    <row r="78" spans="1:10" x14ac:dyDescent="0.3">
      <c r="A78" s="1">
        <v>45579</v>
      </c>
      <c r="B78" t="s">
        <v>15</v>
      </c>
      <c r="C78">
        <v>1527</v>
      </c>
      <c r="D78">
        <v>303</v>
      </c>
      <c r="E78">
        <v>388555</v>
      </c>
      <c r="F78">
        <v>8.9</v>
      </c>
      <c r="G78">
        <v>36397</v>
      </c>
      <c r="H78">
        <f>Engagement_Summary[[#This Row],[New_Followers]]-Engagement_Summary[[#This Row],[Unfollows]]</f>
        <v>1224</v>
      </c>
      <c r="I78">
        <f>Engagement_Summary[[#This Row],[net followers]]/Engagement_Summary[[#This Row],[Total_Followers]]</f>
        <v>3.1501331857780751E-3</v>
      </c>
      <c r="J78">
        <f t="shared" si="2"/>
        <v>1.4588907687943283E-3</v>
      </c>
    </row>
    <row r="79" spans="1:10" x14ac:dyDescent="0.3">
      <c r="A79" s="1">
        <v>45579</v>
      </c>
      <c r="B79" t="s">
        <v>48</v>
      </c>
      <c r="C79">
        <v>643</v>
      </c>
      <c r="D79">
        <v>358</v>
      </c>
      <c r="E79">
        <v>157599</v>
      </c>
      <c r="F79">
        <v>3.88</v>
      </c>
      <c r="G79">
        <v>7285</v>
      </c>
      <c r="H79">
        <f>Engagement_Summary[[#This Row],[New_Followers]]-Engagement_Summary[[#This Row],[Unfollows]]</f>
        <v>285</v>
      </c>
      <c r="I79">
        <f>Engagement_Summary[[#This Row],[net followers]]/Engagement_Summary[[#This Row],[Total_Followers]]</f>
        <v>1.8083871090552605E-3</v>
      </c>
      <c r="J79">
        <f t="shared" si="2"/>
        <v>1.9868329259233272E-3</v>
      </c>
    </row>
    <row r="80" spans="1:10" x14ac:dyDescent="0.3">
      <c r="A80" s="1">
        <v>45579</v>
      </c>
      <c r="B80" t="s">
        <v>26</v>
      </c>
      <c r="C80">
        <v>201</v>
      </c>
      <c r="D80">
        <v>221</v>
      </c>
      <c r="E80">
        <v>309772</v>
      </c>
      <c r="F80">
        <v>5.9</v>
      </c>
      <c r="G80">
        <v>33174</v>
      </c>
      <c r="H80">
        <f>Engagement_Summary[[#This Row],[New_Followers]]-Engagement_Summary[[#This Row],[Unfollows]]</f>
        <v>-20</v>
      </c>
      <c r="I80">
        <f>Engagement_Summary[[#This Row],[net followers]]/Engagement_Summary[[#This Row],[Total_Followers]]</f>
        <v>-6.456361452939582E-5</v>
      </c>
      <c r="J80">
        <f t="shared" si="2"/>
        <v>1.6313188934346465E-3</v>
      </c>
    </row>
    <row r="81" spans="1:10" x14ac:dyDescent="0.3">
      <c r="A81" s="1">
        <v>45579</v>
      </c>
      <c r="B81" t="s">
        <v>42</v>
      </c>
      <c r="C81">
        <v>414</v>
      </c>
      <c r="D81">
        <v>47</v>
      </c>
      <c r="E81">
        <v>199178</v>
      </c>
      <c r="F81">
        <v>1.53</v>
      </c>
      <c r="G81">
        <v>6742</v>
      </c>
      <c r="H81">
        <f>Engagement_Summary[[#This Row],[New_Followers]]-Engagement_Summary[[#This Row],[Unfollows]]</f>
        <v>367</v>
      </c>
      <c r="I81">
        <f>Engagement_Summary[[#This Row],[net followers]]/Engagement_Summary[[#This Row],[Total_Followers]]</f>
        <v>1.8425729749269497E-3</v>
      </c>
      <c r="J81">
        <f t="shared" si="2"/>
        <v>1.1954654898176048E-3</v>
      </c>
    </row>
    <row r="82" spans="1:10" x14ac:dyDescent="0.3">
      <c r="A82" s="1">
        <v>45586</v>
      </c>
      <c r="B82" t="s">
        <v>15</v>
      </c>
      <c r="C82">
        <v>703</v>
      </c>
      <c r="D82">
        <v>441</v>
      </c>
      <c r="E82">
        <v>357089</v>
      </c>
      <c r="F82">
        <v>6.5</v>
      </c>
      <c r="G82">
        <v>32478</v>
      </c>
      <c r="H82">
        <f>Engagement_Summary[[#This Row],[New_Followers]]-Engagement_Summary[[#This Row],[Unfollows]]</f>
        <v>262</v>
      </c>
      <c r="I82">
        <f>Engagement_Summary[[#This Row],[net followers]]/Engagement_Summary[[#This Row],[Total_Followers]]</f>
        <v>7.3371064356504961E-4</v>
      </c>
      <c r="J82">
        <f t="shared" si="2"/>
        <v>8.3724000132086784E-4</v>
      </c>
    </row>
    <row r="83" spans="1:10" x14ac:dyDescent="0.3">
      <c r="A83" s="1">
        <v>45586</v>
      </c>
      <c r="B83" t="s">
        <v>48</v>
      </c>
      <c r="C83">
        <v>508</v>
      </c>
      <c r="D83">
        <v>69</v>
      </c>
      <c r="E83">
        <v>23492</v>
      </c>
      <c r="F83">
        <v>3.16</v>
      </c>
      <c r="G83">
        <v>42824</v>
      </c>
      <c r="H83">
        <f>Engagement_Summary[[#This Row],[New_Followers]]-Engagement_Summary[[#This Row],[Unfollows]]</f>
        <v>439</v>
      </c>
      <c r="I83">
        <f>Engagement_Summary[[#This Row],[net followers]]/Engagement_Summary[[#This Row],[Total_Followers]]</f>
        <v>1.8687212668142345E-2</v>
      </c>
      <c r="J83">
        <f t="shared" si="2"/>
        <v>7.0878320955447818E-3</v>
      </c>
    </row>
    <row r="84" spans="1:10" x14ac:dyDescent="0.3">
      <c r="A84" s="1">
        <v>45586</v>
      </c>
      <c r="B84" t="s">
        <v>26</v>
      </c>
      <c r="C84">
        <v>697</v>
      </c>
      <c r="D84">
        <v>61</v>
      </c>
      <c r="E84">
        <v>258287</v>
      </c>
      <c r="F84">
        <v>8.25</v>
      </c>
      <c r="G84">
        <v>21208</v>
      </c>
      <c r="H84">
        <f>Engagement_Summary[[#This Row],[New_Followers]]-Engagement_Summary[[#This Row],[Unfollows]]</f>
        <v>636</v>
      </c>
      <c r="I84">
        <f>Engagement_Summary[[#This Row],[net followers]]/Engagement_Summary[[#This Row],[Total_Followers]]</f>
        <v>2.4623771231227277E-3</v>
      </c>
      <c r="J84">
        <f t="shared" si="2"/>
        <v>7.2944334782767085E-3</v>
      </c>
    </row>
    <row r="85" spans="1:10" x14ac:dyDescent="0.3">
      <c r="A85" s="1">
        <v>45586</v>
      </c>
      <c r="B85" t="s">
        <v>42</v>
      </c>
      <c r="C85">
        <v>1707</v>
      </c>
      <c r="D85">
        <v>223</v>
      </c>
      <c r="E85">
        <v>256910</v>
      </c>
      <c r="F85">
        <v>5.41</v>
      </c>
      <c r="G85">
        <v>44321</v>
      </c>
      <c r="H85">
        <f>Engagement_Summary[[#This Row],[New_Followers]]-Engagement_Summary[[#This Row],[Unfollows]]</f>
        <v>1484</v>
      </c>
      <c r="I85">
        <f>Engagement_Summary[[#This Row],[net followers]]/Engagement_Summary[[#This Row],[Total_Followers]]</f>
        <v>5.7763419096181542E-3</v>
      </c>
      <c r="J85">
        <f t="shared" si="2"/>
        <v>8.9753105669610755E-3</v>
      </c>
    </row>
    <row r="86" spans="1:10" x14ac:dyDescent="0.3">
      <c r="A86" s="1">
        <v>45593</v>
      </c>
      <c r="B86" t="s">
        <v>15</v>
      </c>
      <c r="C86">
        <v>642</v>
      </c>
      <c r="D86">
        <v>66</v>
      </c>
      <c r="E86">
        <v>346522</v>
      </c>
      <c r="F86">
        <v>5.85</v>
      </c>
      <c r="G86">
        <v>13116</v>
      </c>
      <c r="H86">
        <f>Engagement_Summary[[#This Row],[New_Followers]]-Engagement_Summary[[#This Row],[Unfollows]]</f>
        <v>576</v>
      </c>
      <c r="I86">
        <f>Engagement_Summary[[#This Row],[net followers]]/Engagement_Summary[[#This Row],[Total_Followers]]</f>
        <v>1.6622321237901201E-3</v>
      </c>
      <c r="J86">
        <f t="shared" si="2"/>
        <v>3.3003170521770007E-3</v>
      </c>
    </row>
    <row r="87" spans="1:10" x14ac:dyDescent="0.3">
      <c r="A87" s="1">
        <v>45593</v>
      </c>
      <c r="B87" t="s">
        <v>48</v>
      </c>
      <c r="C87">
        <v>859</v>
      </c>
      <c r="D87">
        <v>473</v>
      </c>
      <c r="E87">
        <v>209987</v>
      </c>
      <c r="F87">
        <v>4.46</v>
      </c>
      <c r="G87">
        <v>30214</v>
      </c>
      <c r="H87">
        <f>Engagement_Summary[[#This Row],[New_Followers]]-Engagement_Summary[[#This Row],[Unfollows]]</f>
        <v>386</v>
      </c>
      <c r="I87">
        <f>Engagement_Summary[[#This Row],[net followers]]/Engagement_Summary[[#This Row],[Total_Followers]]</f>
        <v>1.8382090319876945E-3</v>
      </c>
      <c r="J87">
        <f t="shared" si="2"/>
        <v>3.092261021798656E-3</v>
      </c>
    </row>
    <row r="88" spans="1:10" x14ac:dyDescent="0.3">
      <c r="A88" s="1">
        <v>45593</v>
      </c>
      <c r="B88" t="s">
        <v>26</v>
      </c>
      <c r="C88">
        <v>191</v>
      </c>
      <c r="D88">
        <v>154</v>
      </c>
      <c r="E88">
        <v>240550</v>
      </c>
      <c r="F88">
        <v>5.22</v>
      </c>
      <c r="G88">
        <v>15827</v>
      </c>
      <c r="H88">
        <f>Engagement_Summary[[#This Row],[New_Followers]]-Engagement_Summary[[#This Row],[Unfollows]]</f>
        <v>37</v>
      </c>
      <c r="I88">
        <f>Engagement_Summary[[#This Row],[net followers]]/Engagement_Summary[[#This Row],[Total_Followers]]</f>
        <v>1.5381417584701726E-4</v>
      </c>
      <c r="J88">
        <f t="shared" si="2"/>
        <v>1.2180851105416106E-3</v>
      </c>
    </row>
    <row r="89" spans="1:10" x14ac:dyDescent="0.3">
      <c r="A89" s="1">
        <v>45593</v>
      </c>
      <c r="B89" t="s">
        <v>42</v>
      </c>
      <c r="C89">
        <v>1814</v>
      </c>
      <c r="D89">
        <v>157</v>
      </c>
      <c r="E89">
        <v>305827</v>
      </c>
      <c r="F89">
        <v>1.99</v>
      </c>
      <c r="G89">
        <v>46643</v>
      </c>
      <c r="H89">
        <f>Engagement_Summary[[#This Row],[New_Followers]]-Engagement_Summary[[#This Row],[Unfollows]]</f>
        <v>1657</v>
      </c>
      <c r="I89">
        <f>Engagement_Summary[[#This Row],[net followers]]/Engagement_Summary[[#This Row],[Total_Followers]]</f>
        <v>5.4180958515762179E-3</v>
      </c>
      <c r="J89">
        <f t="shared" si="2"/>
        <v>2.4700396864703101E-3</v>
      </c>
    </row>
    <row r="90" spans="1:10" x14ac:dyDescent="0.3">
      <c r="A90" s="1">
        <v>45600</v>
      </c>
      <c r="B90" t="s">
        <v>15</v>
      </c>
      <c r="C90">
        <v>1466</v>
      </c>
      <c r="D90">
        <v>69</v>
      </c>
      <c r="E90">
        <v>54935</v>
      </c>
      <c r="F90">
        <v>6.85</v>
      </c>
      <c r="G90">
        <v>36484</v>
      </c>
      <c r="H90">
        <f>Engagement_Summary[[#This Row],[New_Followers]]-Engagement_Summary[[#This Row],[Unfollows]]</f>
        <v>1397</v>
      </c>
      <c r="I90">
        <f>Engagement_Summary[[#This Row],[net followers]]/Engagement_Summary[[#This Row],[Total_Followers]]</f>
        <v>2.5430053699827069E-2</v>
      </c>
      <c r="J90">
        <f t="shared" si="2"/>
        <v>1.0333987909083435E-2</v>
      </c>
    </row>
    <row r="91" spans="1:10" x14ac:dyDescent="0.3">
      <c r="A91" s="1">
        <v>45600</v>
      </c>
      <c r="B91" t="s">
        <v>48</v>
      </c>
      <c r="C91">
        <v>947</v>
      </c>
      <c r="D91">
        <v>407</v>
      </c>
      <c r="E91">
        <v>319186</v>
      </c>
      <c r="F91">
        <v>3.32</v>
      </c>
      <c r="G91">
        <v>4996</v>
      </c>
      <c r="H91">
        <f>Engagement_Summary[[#This Row],[New_Followers]]-Engagement_Summary[[#This Row],[Unfollows]]</f>
        <v>540</v>
      </c>
      <c r="I91">
        <f>Engagement_Summary[[#This Row],[net followers]]/Engagement_Summary[[#This Row],[Total_Followers]]</f>
        <v>1.6918035252172713E-3</v>
      </c>
      <c r="J91">
        <f t="shared" si="2"/>
        <v>1.0846651025540187E-2</v>
      </c>
    </row>
    <row r="92" spans="1:10" x14ac:dyDescent="0.3">
      <c r="A92" s="1">
        <v>45600</v>
      </c>
      <c r="B92" t="s">
        <v>26</v>
      </c>
      <c r="C92">
        <v>1821</v>
      </c>
      <c r="D92">
        <v>218</v>
      </c>
      <c r="E92">
        <v>439080</v>
      </c>
      <c r="F92">
        <v>5.68</v>
      </c>
      <c r="G92">
        <v>36095</v>
      </c>
      <c r="H92">
        <f>Engagement_Summary[[#This Row],[New_Followers]]-Engagement_Summary[[#This Row],[Unfollows]]</f>
        <v>1603</v>
      </c>
      <c r="I92">
        <f>Engagement_Summary[[#This Row],[net followers]]/Engagement_Summary[[#This Row],[Total_Followers]]</f>
        <v>3.6508153411678964E-3</v>
      </c>
      <c r="J92">
        <f t="shared" si="2"/>
        <v>1.0257557522070746E-2</v>
      </c>
    </row>
    <row r="93" spans="1:10" x14ac:dyDescent="0.3">
      <c r="A93" s="1">
        <v>45600</v>
      </c>
      <c r="B93" t="s">
        <v>42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f>Engagement_Summary[[#This Row],[New_Followers]]-Engagement_Summary[[#This Row],[Unfollows]]</f>
        <v>1044</v>
      </c>
      <c r="I93">
        <f>Engagement_Summary[[#This Row],[net followers]]/Engagement_Summary[[#This Row],[Total_Followers]]</f>
        <v>4.0317597627286209E-3</v>
      </c>
      <c r="J93">
        <f t="shared" si="2"/>
        <v>3.1247928763712628E-3</v>
      </c>
    </row>
    <row r="94" spans="1:10" x14ac:dyDescent="0.3">
      <c r="A94" s="1">
        <v>45607</v>
      </c>
      <c r="B94" t="s">
        <v>15</v>
      </c>
      <c r="C94">
        <v>1075</v>
      </c>
      <c r="D94">
        <v>173</v>
      </c>
      <c r="E94">
        <v>51395</v>
      </c>
      <c r="F94">
        <v>4.66</v>
      </c>
      <c r="G94">
        <v>47812</v>
      </c>
      <c r="H94">
        <f>Engagement_Summary[[#This Row],[New_Followers]]-Engagement_Summary[[#This Row],[Unfollows]]</f>
        <v>902</v>
      </c>
      <c r="I94">
        <f>Engagement_Summary[[#This Row],[net followers]]/Engagement_Summary[[#This Row],[Total_Followers]]</f>
        <v>1.7550345364335054E-2</v>
      </c>
      <c r="J94">
        <f t="shared" si="2"/>
        <v>8.4109734894105229E-3</v>
      </c>
    </row>
    <row r="95" spans="1:10" x14ac:dyDescent="0.3">
      <c r="A95" s="1">
        <v>45607</v>
      </c>
      <c r="B95" t="s">
        <v>48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>
        <f>Engagement_Summary[[#This Row],[New_Followers]]-Engagement_Summary[[#This Row],[Unfollows]]</f>
        <v>-106</v>
      </c>
      <c r="I95">
        <f>Engagement_Summary[[#This Row],[net followers]]/Engagement_Summary[[#This Row],[Total_Followers]]</f>
        <v>-3.4250669665215861E-4</v>
      </c>
      <c r="J95">
        <f t="shared" si="2"/>
        <v>7.0798661434705061E-3</v>
      </c>
    </row>
    <row r="96" spans="1:10" x14ac:dyDescent="0.3">
      <c r="A96" s="1">
        <v>45607</v>
      </c>
      <c r="B96" t="s">
        <v>26</v>
      </c>
      <c r="C96">
        <v>1487</v>
      </c>
      <c r="D96">
        <v>337</v>
      </c>
      <c r="E96">
        <v>87305</v>
      </c>
      <c r="F96">
        <v>2.46</v>
      </c>
      <c r="G96">
        <v>30428</v>
      </c>
      <c r="H96">
        <f>Engagement_Summary[[#This Row],[New_Followers]]-Engagement_Summary[[#This Row],[Unfollows]]</f>
        <v>1150</v>
      </c>
      <c r="I96">
        <f>Engagement_Summary[[#This Row],[net followers]]/Engagement_Summary[[#This Row],[Total_Followers]]</f>
        <v>1.3172212358971423E-2</v>
      </c>
      <c r="J96">
        <f t="shared" si="2"/>
        <v>1.0126683675551439E-2</v>
      </c>
    </row>
    <row r="97" spans="1:10" x14ac:dyDescent="0.3">
      <c r="A97" s="1">
        <v>45607</v>
      </c>
      <c r="B97" t="s">
        <v>42</v>
      </c>
      <c r="C97">
        <v>454</v>
      </c>
      <c r="D97">
        <v>105</v>
      </c>
      <c r="E97">
        <v>121091</v>
      </c>
      <c r="F97">
        <v>7.97</v>
      </c>
      <c r="G97">
        <v>9269</v>
      </c>
      <c r="H97">
        <f>Engagement_Summary[[#This Row],[New_Followers]]-Engagement_Summary[[#This Row],[Unfollows]]</f>
        <v>349</v>
      </c>
      <c r="I97">
        <f>Engagement_Summary[[#This Row],[net followers]]/Engagement_Summary[[#This Row],[Total_Followers]]</f>
        <v>2.8821299683708945E-3</v>
      </c>
      <c r="J97">
        <f t="shared" si="2"/>
        <v>5.2372785435633867E-3</v>
      </c>
    </row>
    <row r="98" spans="1:10" x14ac:dyDescent="0.3">
      <c r="A98" s="1">
        <v>45614</v>
      </c>
      <c r="B98" t="s">
        <v>15</v>
      </c>
      <c r="C98">
        <v>187</v>
      </c>
      <c r="D98">
        <v>236</v>
      </c>
      <c r="E98">
        <v>51087</v>
      </c>
      <c r="F98">
        <v>9.41</v>
      </c>
      <c r="G98">
        <v>29533</v>
      </c>
      <c r="H98">
        <f>Engagement_Summary[[#This Row],[New_Followers]]-Engagement_Summary[[#This Row],[Unfollows]]</f>
        <v>-49</v>
      </c>
      <c r="I98">
        <f>Engagement_Summary[[#This Row],[net followers]]/Engagement_Summary[[#This Row],[Total_Followers]]</f>
        <v>-9.5914811987394058E-4</v>
      </c>
      <c r="J98">
        <f t="shared" si="2"/>
        <v>5.0317314024894595E-3</v>
      </c>
    </row>
    <row r="99" spans="1:10" x14ac:dyDescent="0.3">
      <c r="A99" s="1">
        <v>45614</v>
      </c>
      <c r="B99" t="s">
        <v>48</v>
      </c>
      <c r="C99">
        <v>513</v>
      </c>
      <c r="D99">
        <v>441</v>
      </c>
      <c r="E99">
        <v>338847</v>
      </c>
      <c r="F99">
        <v>2.68</v>
      </c>
      <c r="G99">
        <v>39997</v>
      </c>
      <c r="H99">
        <f>Engagement_Summary[[#This Row],[New_Followers]]-Engagement_Summary[[#This Row],[Unfollows]]</f>
        <v>72</v>
      </c>
      <c r="I99">
        <f>Engagement_Summary[[#This Row],[net followers]]/Engagement_Summary[[#This Row],[Total_Followers]]</f>
        <v>2.1248528096751631E-4</v>
      </c>
      <c r="J99">
        <f t="shared" si="2"/>
        <v>7.1182237648815671E-4</v>
      </c>
    </row>
    <row r="100" spans="1:10" x14ac:dyDescent="0.3">
      <c r="A100" s="1">
        <v>45614</v>
      </c>
      <c r="B100" t="s">
        <v>26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>
        <f>Engagement_Summary[[#This Row],[New_Followers]]-Engagement_Summary[[#This Row],[Unfollows]]</f>
        <v>445</v>
      </c>
      <c r="I100">
        <f>Engagement_Summary[[#This Row],[net followers]]/Engagement_Summary[[#This Row],[Total_Followers]]</f>
        <v>9.1277744844858602E-4</v>
      </c>
      <c r="J100">
        <f t="shared" ref="J100:J131" si="3">AVERAGE(I98:I100)</f>
        <v>5.537153651405391E-5</v>
      </c>
    </row>
    <row r="101" spans="1:10" x14ac:dyDescent="0.3">
      <c r="A101" s="1">
        <v>45614</v>
      </c>
      <c r="B101" t="s">
        <v>42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>
        <f>Engagement_Summary[[#This Row],[New_Followers]]-Engagement_Summary[[#This Row],[Unfollows]]</f>
        <v>60</v>
      </c>
      <c r="I101">
        <f>Engagement_Summary[[#This Row],[net followers]]/Engagement_Summary[[#This Row],[Total_Followers]]</f>
        <v>1.9887634863023914E-4</v>
      </c>
      <c r="J101">
        <f t="shared" si="3"/>
        <v>4.4137969268211386E-4</v>
      </c>
    </row>
    <row r="102" spans="1:10" x14ac:dyDescent="0.3">
      <c r="A102" s="1">
        <v>45621</v>
      </c>
      <c r="B102" t="s">
        <v>15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>
        <f>Engagement_Summary[[#This Row],[New_Followers]]-Engagement_Summary[[#This Row],[Unfollows]]</f>
        <v>1693</v>
      </c>
      <c r="I102">
        <f>Engagement_Summary[[#This Row],[net followers]]/Engagement_Summary[[#This Row],[Total_Followers]]</f>
        <v>5.9936417126309005E-3</v>
      </c>
      <c r="J102">
        <f t="shared" si="3"/>
        <v>2.3684318365699087E-3</v>
      </c>
    </row>
    <row r="103" spans="1:10" x14ac:dyDescent="0.3">
      <c r="A103" s="1">
        <v>45621</v>
      </c>
      <c r="B103" t="s">
        <v>48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>
        <f>Engagement_Summary[[#This Row],[New_Followers]]-Engagement_Summary[[#This Row],[Unfollows]]</f>
        <v>1332</v>
      </c>
      <c r="I103">
        <f>Engagement_Summary[[#This Row],[net followers]]/Engagement_Summary[[#This Row],[Total_Followers]]</f>
        <v>3.9565022381564839E-3</v>
      </c>
      <c r="J103">
        <f t="shared" si="3"/>
        <v>3.3830067664725413E-3</v>
      </c>
    </row>
    <row r="104" spans="1:10" x14ac:dyDescent="0.3">
      <c r="A104" s="1">
        <v>45621</v>
      </c>
      <c r="B104" t="s">
        <v>26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>
        <f>Engagement_Summary[[#This Row],[New_Followers]]-Engagement_Summary[[#This Row],[Unfollows]]</f>
        <v>98</v>
      </c>
      <c r="I104">
        <f>Engagement_Summary[[#This Row],[net followers]]/Engagement_Summary[[#This Row],[Total_Followers]]</f>
        <v>1.1079079758069075E-3</v>
      </c>
      <c r="J104">
        <f t="shared" si="3"/>
        <v>3.6860173088647638E-3</v>
      </c>
    </row>
    <row r="105" spans="1:10" x14ac:dyDescent="0.3">
      <c r="A105" s="1">
        <v>45621</v>
      </c>
      <c r="B105" t="s">
        <v>42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>
        <f>Engagement_Summary[[#This Row],[New_Followers]]-Engagement_Summary[[#This Row],[Unfollows]]</f>
        <v>885</v>
      </c>
      <c r="I105">
        <f>Engagement_Summary[[#This Row],[net followers]]/Engagement_Summary[[#This Row],[Total_Followers]]</f>
        <v>1.4152074838090669E-2</v>
      </c>
      <c r="J105">
        <f t="shared" si="3"/>
        <v>6.4054950173513536E-3</v>
      </c>
    </row>
    <row r="106" spans="1:10" x14ac:dyDescent="0.3">
      <c r="A106" s="1">
        <v>45628</v>
      </c>
      <c r="B106" t="s">
        <v>15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>
        <f>Engagement_Summary[[#This Row],[New_Followers]]-Engagement_Summary[[#This Row],[Unfollows]]</f>
        <v>1625</v>
      </c>
      <c r="I106">
        <f>Engagement_Summary[[#This Row],[net followers]]/Engagement_Summary[[#This Row],[Total_Followers]]</f>
        <v>3.8511033114748661E-3</v>
      </c>
      <c r="J106">
        <f t="shared" si="3"/>
        <v>6.3703620417908139E-3</v>
      </c>
    </row>
    <row r="107" spans="1:10" x14ac:dyDescent="0.3">
      <c r="A107" s="1">
        <v>45628</v>
      </c>
      <c r="B107" t="s">
        <v>48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>
        <f>Engagement_Summary[[#This Row],[New_Followers]]-Engagement_Summary[[#This Row],[Unfollows]]</f>
        <v>1706</v>
      </c>
      <c r="I107">
        <f>Engagement_Summary[[#This Row],[net followers]]/Engagement_Summary[[#This Row],[Total_Followers]]</f>
        <v>3.6277109484146308E-3</v>
      </c>
      <c r="J107">
        <f t="shared" si="3"/>
        <v>7.210296365993389E-3</v>
      </c>
    </row>
    <row r="108" spans="1:10" x14ac:dyDescent="0.3">
      <c r="A108" s="1">
        <v>45628</v>
      </c>
      <c r="B108" t="s">
        <v>26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>
        <f>Engagement_Summary[[#This Row],[New_Followers]]-Engagement_Summary[[#This Row],[Unfollows]]</f>
        <v>1173</v>
      </c>
      <c r="I108">
        <f>Engagement_Summary[[#This Row],[net followers]]/Engagement_Summary[[#This Row],[Total_Followers]]</f>
        <v>3.7850431101244257E-3</v>
      </c>
      <c r="J108">
        <f t="shared" si="3"/>
        <v>3.7546191233379742E-3</v>
      </c>
    </row>
    <row r="109" spans="1:10" x14ac:dyDescent="0.3">
      <c r="A109" s="1">
        <v>45628</v>
      </c>
      <c r="B109" t="s">
        <v>42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>
        <f>Engagement_Summary[[#This Row],[New_Followers]]-Engagement_Summary[[#This Row],[Unfollows]]</f>
        <v>291</v>
      </c>
      <c r="I109">
        <f>Engagement_Summary[[#This Row],[net followers]]/Engagement_Summary[[#This Row],[Total_Followers]]</f>
        <v>1.3151115811166245E-3</v>
      </c>
      <c r="J109">
        <f t="shared" si="3"/>
        <v>2.9092885465518935E-3</v>
      </c>
    </row>
    <row r="110" spans="1:10" x14ac:dyDescent="0.3">
      <c r="A110" s="1">
        <v>45635</v>
      </c>
      <c r="B110" t="s">
        <v>15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>
        <f>Engagement_Summary[[#This Row],[New_Followers]]-Engagement_Summary[[#This Row],[Unfollows]]</f>
        <v>1119</v>
      </c>
      <c r="I110">
        <f>Engagement_Summary[[#This Row],[net followers]]/Engagement_Summary[[#This Row],[Total_Followers]]</f>
        <v>5.0721615839286359E-3</v>
      </c>
      <c r="J110">
        <f t="shared" si="3"/>
        <v>3.3907720917232286E-3</v>
      </c>
    </row>
    <row r="111" spans="1:10" x14ac:dyDescent="0.3">
      <c r="A111" s="1">
        <v>45635</v>
      </c>
      <c r="B111" t="s">
        <v>48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>
        <f>Engagement_Summary[[#This Row],[New_Followers]]-Engagement_Summary[[#This Row],[Unfollows]]</f>
        <v>1373</v>
      </c>
      <c r="I111">
        <f>Engagement_Summary[[#This Row],[net followers]]/Engagement_Summary[[#This Row],[Total_Followers]]</f>
        <v>3.8307014117515761E-2</v>
      </c>
      <c r="J111">
        <f t="shared" si="3"/>
        <v>1.4898095760853674E-2</v>
      </c>
    </row>
    <row r="112" spans="1:10" x14ac:dyDescent="0.3">
      <c r="A112" s="1">
        <v>45635</v>
      </c>
      <c r="B112" t="s">
        <v>26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>
        <f>Engagement_Summary[[#This Row],[New_Followers]]-Engagement_Summary[[#This Row],[Unfollows]]</f>
        <v>1727</v>
      </c>
      <c r="I112">
        <f>Engagement_Summary[[#This Row],[net followers]]/Engagement_Summary[[#This Row],[Total_Followers]]</f>
        <v>8.3806473528412681E-2</v>
      </c>
      <c r="J112">
        <f t="shared" si="3"/>
        <v>4.2395216409952363E-2</v>
      </c>
    </row>
    <row r="113" spans="1:10" x14ac:dyDescent="0.3">
      <c r="A113" s="1">
        <v>45635</v>
      </c>
      <c r="B113" t="s">
        <v>42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>
        <f>Engagement_Summary[[#This Row],[New_Followers]]-Engagement_Summary[[#This Row],[Unfollows]]</f>
        <v>573</v>
      </c>
      <c r="I113">
        <f>Engagement_Summary[[#This Row],[net followers]]/Engagement_Summary[[#This Row],[Total_Followers]]</f>
        <v>1.2679964770499277E-3</v>
      </c>
      <c r="J113">
        <f t="shared" si="3"/>
        <v>4.1127161374326121E-2</v>
      </c>
    </row>
    <row r="114" spans="1:10" x14ac:dyDescent="0.3">
      <c r="A114" s="1">
        <v>45642</v>
      </c>
      <c r="B114" t="s">
        <v>15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>
        <f>Engagement_Summary[[#This Row],[New_Followers]]-Engagement_Summary[[#This Row],[Unfollows]]</f>
        <v>1432</v>
      </c>
      <c r="I114">
        <f>Engagement_Summary[[#This Row],[net followers]]/Engagement_Summary[[#This Row],[Total_Followers]]</f>
        <v>3.0759118725472716E-3</v>
      </c>
      <c r="J114">
        <f t="shared" si="3"/>
        <v>2.9383460626003294E-2</v>
      </c>
    </row>
    <row r="115" spans="1:10" x14ac:dyDescent="0.3">
      <c r="A115" s="1">
        <v>45642</v>
      </c>
      <c r="B115" t="s">
        <v>48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>
        <f>Engagement_Summary[[#This Row],[New_Followers]]-Engagement_Summary[[#This Row],[Unfollows]]</f>
        <v>1377</v>
      </c>
      <c r="I115">
        <f>Engagement_Summary[[#This Row],[net followers]]/Engagement_Summary[[#This Row],[Total_Followers]]</f>
        <v>3.311568846722701E-3</v>
      </c>
      <c r="J115">
        <f t="shared" si="3"/>
        <v>2.5518257321066333E-3</v>
      </c>
    </row>
    <row r="116" spans="1:10" x14ac:dyDescent="0.3">
      <c r="A116" s="1">
        <v>45642</v>
      </c>
      <c r="B116" t="s">
        <v>26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>
        <f>Engagement_Summary[[#This Row],[New_Followers]]-Engagement_Summary[[#This Row],[Unfollows]]</f>
        <v>1359</v>
      </c>
      <c r="I116">
        <f>Engagement_Summary[[#This Row],[net followers]]/Engagement_Summary[[#This Row],[Total_Followers]]</f>
        <v>4.1536387893013997E-3</v>
      </c>
      <c r="J116">
        <f t="shared" si="3"/>
        <v>3.5137065028571241E-3</v>
      </c>
    </row>
    <row r="117" spans="1:10" x14ac:dyDescent="0.3">
      <c r="A117" s="1">
        <v>45642</v>
      </c>
      <c r="B117" t="s">
        <v>42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>
        <f>Engagement_Summary[[#This Row],[New_Followers]]-Engagement_Summary[[#This Row],[Unfollows]]</f>
        <v>876</v>
      </c>
      <c r="I117">
        <f>Engagement_Summary[[#This Row],[net followers]]/Engagement_Summary[[#This Row],[Total_Followers]]</f>
        <v>1.7917737946946315E-3</v>
      </c>
      <c r="J117">
        <f t="shared" si="3"/>
        <v>3.0856604769062441E-3</v>
      </c>
    </row>
    <row r="118" spans="1:10" x14ac:dyDescent="0.3">
      <c r="A118" s="1">
        <v>45649</v>
      </c>
      <c r="B118" t="s">
        <v>15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>
        <f>Engagement_Summary[[#This Row],[New_Followers]]-Engagement_Summary[[#This Row],[Unfollows]]</f>
        <v>684</v>
      </c>
      <c r="I118">
        <f>Engagement_Summary[[#This Row],[net followers]]/Engagement_Summary[[#This Row],[Total_Followers]]</f>
        <v>2.4359408109118751E-3</v>
      </c>
      <c r="J118">
        <f t="shared" si="3"/>
        <v>2.7937844649693019E-3</v>
      </c>
    </row>
    <row r="119" spans="1:10" x14ac:dyDescent="0.3">
      <c r="A119" s="1">
        <v>45649</v>
      </c>
      <c r="B119" t="s">
        <v>48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>
        <f>Engagement_Summary[[#This Row],[New_Followers]]-Engagement_Summary[[#This Row],[Unfollows]]</f>
        <v>730</v>
      </c>
      <c r="I119">
        <f>Engagement_Summary[[#This Row],[net followers]]/Engagement_Summary[[#This Row],[Total_Followers]]</f>
        <v>7.8202834584935772E-3</v>
      </c>
      <c r="J119">
        <f t="shared" si="3"/>
        <v>4.0159993547000282E-3</v>
      </c>
    </row>
    <row r="120" spans="1:10" x14ac:dyDescent="0.3">
      <c r="A120" s="1">
        <v>45649</v>
      </c>
      <c r="B120" t="s">
        <v>26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>
        <f>Engagement_Summary[[#This Row],[New_Followers]]-Engagement_Summary[[#This Row],[Unfollows]]</f>
        <v>911</v>
      </c>
      <c r="I120">
        <f>Engagement_Summary[[#This Row],[net followers]]/Engagement_Summary[[#This Row],[Total_Followers]]</f>
        <v>1.1230414576116569E-2</v>
      </c>
      <c r="J120">
        <f t="shared" si="3"/>
        <v>7.1622129485073406E-3</v>
      </c>
    </row>
    <row r="121" spans="1:10" x14ac:dyDescent="0.3">
      <c r="A121" s="1">
        <v>45649</v>
      </c>
      <c r="B121" t="s">
        <v>42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>
        <f>Engagement_Summary[[#This Row],[New_Followers]]-Engagement_Summary[[#This Row],[Unfollows]]</f>
        <v>1589</v>
      </c>
      <c r="I121">
        <f>Engagement_Summary[[#This Row],[net followers]]/Engagement_Summary[[#This Row],[Total_Followers]]</f>
        <v>6.3113158835445049E-2</v>
      </c>
      <c r="J121">
        <f t="shared" si="3"/>
        <v>2.7387952290018402E-2</v>
      </c>
    </row>
    <row r="122" spans="1:10" x14ac:dyDescent="0.3">
      <c r="A122" s="1">
        <v>45656</v>
      </c>
      <c r="B122" t="s">
        <v>15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>
        <f>Engagement_Summary[[#This Row],[New_Followers]]-Engagement_Summary[[#This Row],[Unfollows]]</f>
        <v>1765</v>
      </c>
      <c r="I122">
        <f>Engagement_Summary[[#This Row],[net followers]]/Engagement_Summary[[#This Row],[Total_Followers]]</f>
        <v>1.253515525127127E-2</v>
      </c>
      <c r="J122">
        <f t="shared" si="3"/>
        <v>2.8959576220944295E-2</v>
      </c>
    </row>
    <row r="123" spans="1:10" x14ac:dyDescent="0.3">
      <c r="A123" s="1">
        <v>45656</v>
      </c>
      <c r="B123" t="s">
        <v>48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>
        <f>Engagement_Summary[[#This Row],[New_Followers]]-Engagement_Summary[[#This Row],[Unfollows]]</f>
        <v>1776</v>
      </c>
      <c r="I123">
        <f>Engagement_Summary[[#This Row],[net followers]]/Engagement_Summary[[#This Row],[Total_Followers]]</f>
        <v>4.6806929323118035E-3</v>
      </c>
      <c r="J123">
        <f t="shared" si="3"/>
        <v>2.6776335673009372E-2</v>
      </c>
    </row>
    <row r="124" spans="1:10" x14ac:dyDescent="0.3">
      <c r="A124" s="1">
        <v>45656</v>
      </c>
      <c r="B124" t="s">
        <v>26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>
        <f>Engagement_Summary[[#This Row],[New_Followers]]-Engagement_Summary[[#This Row],[Unfollows]]</f>
        <v>1529</v>
      </c>
      <c r="I124">
        <f>Engagement_Summary[[#This Row],[net followers]]/Engagement_Summary[[#This Row],[Total_Followers]]</f>
        <v>5.5634189738421064E-3</v>
      </c>
      <c r="J124">
        <f t="shared" si="3"/>
        <v>7.5930890524750607E-3</v>
      </c>
    </row>
    <row r="125" spans="1:10" x14ac:dyDescent="0.3">
      <c r="A125" s="1">
        <v>45656</v>
      </c>
      <c r="B125" t="s">
        <v>42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>
        <f>Engagement_Summary[[#This Row],[New_Followers]]-Engagement_Summary[[#This Row],[Unfollows]]</f>
        <v>1460</v>
      </c>
      <c r="I125">
        <f>Engagement_Summary[[#This Row],[net followers]]/Engagement_Summary[[#This Row],[Total_Followers]]</f>
        <v>1.0669005078738719E-2</v>
      </c>
      <c r="J125">
        <f t="shared" si="3"/>
        <v>6.9710389949642097E-3</v>
      </c>
    </row>
    <row r="126" spans="1:10" x14ac:dyDescent="0.3">
      <c r="A126" s="1">
        <v>45663</v>
      </c>
      <c r="B126" t="s">
        <v>15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>
        <f>Engagement_Summary[[#This Row],[New_Followers]]-Engagement_Summary[[#This Row],[Unfollows]]</f>
        <v>903</v>
      </c>
      <c r="I126">
        <f>Engagement_Summary[[#This Row],[net followers]]/Engagement_Summary[[#This Row],[Total_Followers]]</f>
        <v>1.9361810704529763E-3</v>
      </c>
      <c r="J126">
        <f t="shared" si="3"/>
        <v>6.0562017076779334E-3</v>
      </c>
    </row>
    <row r="127" spans="1:10" x14ac:dyDescent="0.3">
      <c r="A127" s="1">
        <v>45663</v>
      </c>
      <c r="B127" t="s">
        <v>48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>
        <f>Engagement_Summary[[#This Row],[New_Followers]]-Engagement_Summary[[#This Row],[Unfollows]]</f>
        <v>620</v>
      </c>
      <c r="I127">
        <f>Engagement_Summary[[#This Row],[net followers]]/Engagement_Summary[[#This Row],[Total_Followers]]</f>
        <v>6.4766839378238338E-3</v>
      </c>
      <c r="J127">
        <f t="shared" si="3"/>
        <v>6.3606233623385092E-3</v>
      </c>
    </row>
    <row r="128" spans="1:10" x14ac:dyDescent="0.3">
      <c r="A128" s="1">
        <v>45663</v>
      </c>
      <c r="B128" t="s">
        <v>26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>
        <f>Engagement_Summary[[#This Row],[New_Followers]]-Engagement_Summary[[#This Row],[Unfollows]]</f>
        <v>1188</v>
      </c>
      <c r="I128">
        <f>Engagement_Summary[[#This Row],[net followers]]/Engagement_Summary[[#This Row],[Total_Followers]]</f>
        <v>3.2008104408927781E-3</v>
      </c>
      <c r="J128">
        <f t="shared" si="3"/>
        <v>3.8712251497231959E-3</v>
      </c>
    </row>
    <row r="129" spans="1:10" x14ac:dyDescent="0.3">
      <c r="A129" s="1">
        <v>45663</v>
      </c>
      <c r="B129" t="s">
        <v>42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>
        <f>Engagement_Summary[[#This Row],[New_Followers]]-Engagement_Summary[[#This Row],[Unfollows]]</f>
        <v>846</v>
      </c>
      <c r="I129">
        <f>Engagement_Summary[[#This Row],[net followers]]/Engagement_Summary[[#This Row],[Total_Followers]]</f>
        <v>8.8669950738916262E-3</v>
      </c>
      <c r="J129">
        <f t="shared" si="3"/>
        <v>6.1814964842027463E-3</v>
      </c>
    </row>
    <row r="130" spans="1:10" x14ac:dyDescent="0.3">
      <c r="A130" s="1">
        <v>45670</v>
      </c>
      <c r="B130" t="s">
        <v>15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>
        <f>Engagement_Summary[[#This Row],[New_Followers]]-Engagement_Summary[[#This Row],[Unfollows]]</f>
        <v>1722</v>
      </c>
      <c r="I130">
        <f>Engagement_Summary[[#This Row],[net followers]]/Engagement_Summary[[#This Row],[Total_Followers]]</f>
        <v>4.9282654051223049E-3</v>
      </c>
      <c r="J130">
        <f t="shared" si="3"/>
        <v>5.6653569733022364E-3</v>
      </c>
    </row>
    <row r="131" spans="1:10" x14ac:dyDescent="0.3">
      <c r="A131" s="1">
        <v>45670</v>
      </c>
      <c r="B131" t="s">
        <v>48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>
        <f>Engagement_Summary[[#This Row],[New_Followers]]-Engagement_Summary[[#This Row],[Unfollows]]</f>
        <v>298</v>
      </c>
      <c r="I131">
        <f>Engagement_Summary[[#This Row],[net followers]]/Engagement_Summary[[#This Row],[Total_Followers]]</f>
        <v>1.3262186302564765E-3</v>
      </c>
      <c r="J131">
        <f t="shared" si="3"/>
        <v>5.0404930364234693E-3</v>
      </c>
    </row>
    <row r="132" spans="1:10" x14ac:dyDescent="0.3">
      <c r="A132" s="1">
        <v>45670</v>
      </c>
      <c r="B132" t="s">
        <v>26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>
        <f>Engagement_Summary[[#This Row],[New_Followers]]-Engagement_Summary[[#This Row],[Unfollows]]</f>
        <v>-144</v>
      </c>
      <c r="I132">
        <f>Engagement_Summary[[#This Row],[net followers]]/Engagement_Summary[[#This Row],[Total_Followers]]</f>
        <v>-2.9514486693885583E-4</v>
      </c>
      <c r="J132">
        <f t="shared" ref="J132:J163" si="4">AVERAGE(I130:I132)</f>
        <v>1.986446389479975E-3</v>
      </c>
    </row>
    <row r="133" spans="1:10" x14ac:dyDescent="0.3">
      <c r="A133" s="1">
        <v>45670</v>
      </c>
      <c r="B133" t="s">
        <v>42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>
        <f>Engagement_Summary[[#This Row],[New_Followers]]-Engagement_Summary[[#This Row],[Unfollows]]</f>
        <v>901</v>
      </c>
      <c r="I133">
        <f>Engagement_Summary[[#This Row],[net followers]]/Engagement_Summary[[#This Row],[Total_Followers]]</f>
        <v>6.2409087760615087E-2</v>
      </c>
      <c r="J133">
        <f t="shared" si="4"/>
        <v>2.1146720507977571E-2</v>
      </c>
    </row>
    <row r="134" spans="1:10" x14ac:dyDescent="0.3">
      <c r="A134" s="1">
        <v>45677</v>
      </c>
      <c r="B134" t="s">
        <v>15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>
        <f>Engagement_Summary[[#This Row],[New_Followers]]-Engagement_Summary[[#This Row],[Unfollows]]</f>
        <v>1572</v>
      </c>
      <c r="I134">
        <f>Engagement_Summary[[#This Row],[net followers]]/Engagement_Summary[[#This Row],[Total_Followers]]</f>
        <v>4.0971536250166149E-3</v>
      </c>
      <c r="J134">
        <f t="shared" si="4"/>
        <v>2.2070365506230951E-2</v>
      </c>
    </row>
    <row r="135" spans="1:10" x14ac:dyDescent="0.3">
      <c r="A135" s="1">
        <v>45677</v>
      </c>
      <c r="B135" t="s">
        <v>48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>
        <f>Engagement_Summary[[#This Row],[New_Followers]]-Engagement_Summary[[#This Row],[Unfollows]]</f>
        <v>427</v>
      </c>
      <c r="I135">
        <f>Engagement_Summary[[#This Row],[net followers]]/Engagement_Summary[[#This Row],[Total_Followers]]</f>
        <v>8.9052952094934197E-4</v>
      </c>
      <c r="J135">
        <f t="shared" si="4"/>
        <v>2.246559030219368E-2</v>
      </c>
    </row>
    <row r="136" spans="1:10" x14ac:dyDescent="0.3">
      <c r="A136" s="1">
        <v>45677</v>
      </c>
      <c r="B136" t="s">
        <v>26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>Engagement_Summary[[#This Row],[New_Followers]]-Engagement_Summary[[#This Row],[Unfollows]]</f>
        <v>891</v>
      </c>
      <c r="I136">
        <f>Engagement_Summary[[#This Row],[net followers]]/Engagement_Summary[[#This Row],[Total_Followers]]</f>
        <v>7.1621491270377159E-3</v>
      </c>
      <c r="J136">
        <f t="shared" si="4"/>
        <v>4.0499440910012246E-3</v>
      </c>
    </row>
    <row r="137" spans="1:10" x14ac:dyDescent="0.3">
      <c r="A137" s="1">
        <v>45677</v>
      </c>
      <c r="B137" t="s">
        <v>42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>
        <f>Engagement_Summary[[#This Row],[New_Followers]]-Engagement_Summary[[#This Row],[Unfollows]]</f>
        <v>724</v>
      </c>
      <c r="I137">
        <f>Engagement_Summary[[#This Row],[net followers]]/Engagement_Summary[[#This Row],[Total_Followers]]</f>
        <v>2.1486931256659019E-3</v>
      </c>
      <c r="J137">
        <f t="shared" si="4"/>
        <v>3.4004572578843193E-3</v>
      </c>
    </row>
    <row r="138" spans="1:10" x14ac:dyDescent="0.3">
      <c r="A138" s="1">
        <v>45684</v>
      </c>
      <c r="B138" t="s">
        <v>15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>
        <f>Engagement_Summary[[#This Row],[New_Followers]]-Engagement_Summary[[#This Row],[Unfollows]]</f>
        <v>-166</v>
      </c>
      <c r="I138">
        <f>Engagement_Summary[[#This Row],[net followers]]/Engagement_Summary[[#This Row],[Total_Followers]]</f>
        <v>-4.6464109274628077E-4</v>
      </c>
      <c r="J138">
        <f t="shared" si="4"/>
        <v>2.9487337199857792E-3</v>
      </c>
    </row>
    <row r="139" spans="1:10" x14ac:dyDescent="0.3">
      <c r="A139" s="1">
        <v>45684</v>
      </c>
      <c r="B139" t="s">
        <v>48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>
        <f>Engagement_Summary[[#This Row],[New_Followers]]-Engagement_Summary[[#This Row],[Unfollows]]</f>
        <v>898</v>
      </c>
      <c r="I139">
        <f>Engagement_Summary[[#This Row],[net followers]]/Engagement_Summary[[#This Row],[Total_Followers]]</f>
        <v>2.7948348464241365E-3</v>
      </c>
      <c r="J139">
        <f t="shared" si="4"/>
        <v>1.4929622931145858E-3</v>
      </c>
    </row>
    <row r="140" spans="1:10" x14ac:dyDescent="0.3">
      <c r="A140" s="1">
        <v>45684</v>
      </c>
      <c r="B140" t="s">
        <v>26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>
        <f>Engagement_Summary[[#This Row],[New_Followers]]-Engagement_Summary[[#This Row],[Unfollows]]</f>
        <v>1426</v>
      </c>
      <c r="I140">
        <f>Engagement_Summary[[#This Row],[net followers]]/Engagement_Summary[[#This Row],[Total_Followers]]</f>
        <v>5.4309533874905263E-3</v>
      </c>
      <c r="J140">
        <f t="shared" si="4"/>
        <v>2.5870490470561273E-3</v>
      </c>
    </row>
    <row r="141" spans="1:10" x14ac:dyDescent="0.3">
      <c r="A141" s="1">
        <v>45684</v>
      </c>
      <c r="B141" t="s">
        <v>42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>
        <f>Engagement_Summary[[#This Row],[New_Followers]]-Engagement_Summary[[#This Row],[Unfollows]]</f>
        <v>1225</v>
      </c>
      <c r="I141">
        <f>Engagement_Summary[[#This Row],[net followers]]/Engagement_Summary[[#This Row],[Total_Followers]]</f>
        <v>2.6534161921203288E-3</v>
      </c>
      <c r="J141">
        <f t="shared" si="4"/>
        <v>3.6264014753449973E-3</v>
      </c>
    </row>
    <row r="142" spans="1:10" x14ac:dyDescent="0.3">
      <c r="A142" s="1">
        <v>45691</v>
      </c>
      <c r="B142" t="s">
        <v>15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>
        <f>Engagement_Summary[[#This Row],[New_Followers]]-Engagement_Summary[[#This Row],[Unfollows]]</f>
        <v>1080</v>
      </c>
      <c r="I142">
        <f>Engagement_Summary[[#This Row],[net followers]]/Engagement_Summary[[#This Row],[Total_Followers]]</f>
        <v>3.0720567989168156E-3</v>
      </c>
      <c r="J142">
        <f t="shared" si="4"/>
        <v>3.7188087928425573E-3</v>
      </c>
    </row>
    <row r="143" spans="1:10" x14ac:dyDescent="0.3">
      <c r="A143" s="1">
        <v>45691</v>
      </c>
      <c r="B143" t="s">
        <v>48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>
        <f>Engagement_Summary[[#This Row],[New_Followers]]-Engagement_Summary[[#This Row],[Unfollows]]</f>
        <v>748</v>
      </c>
      <c r="I143">
        <f>Engagement_Summary[[#This Row],[net followers]]/Engagement_Summary[[#This Row],[Total_Followers]]</f>
        <v>5.5005257855530306E-3</v>
      </c>
      <c r="J143">
        <f t="shared" si="4"/>
        <v>3.741999592196725E-3</v>
      </c>
    </row>
    <row r="144" spans="1:10" x14ac:dyDescent="0.3">
      <c r="A144" s="1">
        <v>45691</v>
      </c>
      <c r="B144" t="s">
        <v>26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>
        <f>Engagement_Summary[[#This Row],[New_Followers]]-Engagement_Summary[[#This Row],[Unfollows]]</f>
        <v>569</v>
      </c>
      <c r="I144">
        <f>Engagement_Summary[[#This Row],[net followers]]/Engagement_Summary[[#This Row],[Total_Followers]]</f>
        <v>3.2046588643454949E-3</v>
      </c>
      <c r="J144">
        <f t="shared" si="4"/>
        <v>3.9257471496051142E-3</v>
      </c>
    </row>
    <row r="145" spans="1:10" x14ac:dyDescent="0.3">
      <c r="A145" s="1">
        <v>45691</v>
      </c>
      <c r="B145" t="s">
        <v>42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>
        <f>Engagement_Summary[[#This Row],[New_Followers]]-Engagement_Summary[[#This Row],[Unfollows]]</f>
        <v>-203</v>
      </c>
      <c r="I145">
        <f>Engagement_Summary[[#This Row],[net followers]]/Engagement_Summary[[#This Row],[Total_Followers]]</f>
        <v>-7.4972485467156139E-4</v>
      </c>
      <c r="J145">
        <f t="shared" si="4"/>
        <v>2.6518199317423215E-3</v>
      </c>
    </row>
    <row r="146" spans="1:10" x14ac:dyDescent="0.3">
      <c r="A146" s="1">
        <v>45698</v>
      </c>
      <c r="B146" t="s">
        <v>15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>
        <f>Engagement_Summary[[#This Row],[New_Followers]]-Engagement_Summary[[#This Row],[Unfollows]]</f>
        <v>1723</v>
      </c>
      <c r="I146">
        <f>Engagement_Summary[[#This Row],[net followers]]/Engagement_Summary[[#This Row],[Total_Followers]]</f>
        <v>7.7568587198256845E-3</v>
      </c>
      <c r="J146">
        <f t="shared" si="4"/>
        <v>3.4039309098332061E-3</v>
      </c>
    </row>
    <row r="147" spans="1:10" x14ac:dyDescent="0.3">
      <c r="A147" s="1">
        <v>45698</v>
      </c>
      <c r="B147" t="s">
        <v>48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>
        <f>Engagement_Summary[[#This Row],[New_Followers]]-Engagement_Summary[[#This Row],[Unfollows]]</f>
        <v>912</v>
      </c>
      <c r="I147">
        <f>Engagement_Summary[[#This Row],[net followers]]/Engagement_Summary[[#This Row],[Total_Followers]]</f>
        <v>2.9427518601934728E-3</v>
      </c>
      <c r="J147">
        <f t="shared" si="4"/>
        <v>3.3166285751158654E-3</v>
      </c>
    </row>
    <row r="148" spans="1:10" x14ac:dyDescent="0.3">
      <c r="A148" s="1">
        <v>45698</v>
      </c>
      <c r="B148" t="s">
        <v>26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>
        <f>Engagement_Summary[[#This Row],[New_Followers]]-Engagement_Summary[[#This Row],[Unfollows]]</f>
        <v>1202</v>
      </c>
      <c r="I148">
        <f>Engagement_Summary[[#This Row],[net followers]]/Engagement_Summary[[#This Row],[Total_Followers]]</f>
        <v>9.4958208908059605E-3</v>
      </c>
      <c r="J148">
        <f t="shared" si="4"/>
        <v>6.7318104902750397E-3</v>
      </c>
    </row>
    <row r="149" spans="1:10" x14ac:dyDescent="0.3">
      <c r="A149" s="1">
        <v>45698</v>
      </c>
      <c r="B149" t="s">
        <v>42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>
        <f>Engagement_Summary[[#This Row],[New_Followers]]-Engagement_Summary[[#This Row],[Unfollows]]</f>
        <v>1444</v>
      </c>
      <c r="I149">
        <f>Engagement_Summary[[#This Row],[net followers]]/Engagement_Summary[[#This Row],[Total_Followers]]</f>
        <v>2.9756017144741179E-3</v>
      </c>
      <c r="J149">
        <f t="shared" si="4"/>
        <v>5.1380581551578501E-3</v>
      </c>
    </row>
    <row r="150" spans="1:10" x14ac:dyDescent="0.3">
      <c r="A150" s="1">
        <v>45705</v>
      </c>
      <c r="B150" t="s">
        <v>15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>
        <f>Engagement_Summary[[#This Row],[New_Followers]]-Engagement_Summary[[#This Row],[Unfollows]]</f>
        <v>965</v>
      </c>
      <c r="I150">
        <f>Engagement_Summary[[#This Row],[net followers]]/Engagement_Summary[[#This Row],[Total_Followers]]</f>
        <v>2.1291007252180398E-3</v>
      </c>
      <c r="J150">
        <f t="shared" si="4"/>
        <v>4.8668411101660397E-3</v>
      </c>
    </row>
    <row r="151" spans="1:10" x14ac:dyDescent="0.3">
      <c r="A151" s="1">
        <v>45705</v>
      </c>
      <c r="B151" t="s">
        <v>48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>
        <f>Engagement_Summary[[#This Row],[New_Followers]]-Engagement_Summary[[#This Row],[Unfollows]]</f>
        <v>1590</v>
      </c>
      <c r="I151">
        <f>Engagement_Summary[[#This Row],[net followers]]/Engagement_Summary[[#This Row],[Total_Followers]]</f>
        <v>1.5147617822744291E-2</v>
      </c>
      <c r="J151">
        <f t="shared" si="4"/>
        <v>6.7507734208121497E-3</v>
      </c>
    </row>
    <row r="152" spans="1:10" x14ac:dyDescent="0.3">
      <c r="A152" s="1">
        <v>45705</v>
      </c>
      <c r="B152" t="s">
        <v>26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>
        <f>Engagement_Summary[[#This Row],[New_Followers]]-Engagement_Summary[[#This Row],[Unfollows]]</f>
        <v>-37</v>
      </c>
      <c r="I152">
        <f>Engagement_Summary[[#This Row],[net followers]]/Engagement_Summary[[#This Row],[Total_Followers]]</f>
        <v>-2.5410691720235154E-4</v>
      </c>
      <c r="J152">
        <f t="shared" si="4"/>
        <v>5.6742038769199933E-3</v>
      </c>
    </row>
    <row r="153" spans="1:10" x14ac:dyDescent="0.3">
      <c r="A153" s="1">
        <v>45705</v>
      </c>
      <c r="B153" t="s">
        <v>42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>
        <f>Engagement_Summary[[#This Row],[New_Followers]]-Engagement_Summary[[#This Row],[Unfollows]]</f>
        <v>1175</v>
      </c>
      <c r="I153">
        <f>Engagement_Summary[[#This Row],[net followers]]/Engagement_Summary[[#This Row],[Total_Followers]]</f>
        <v>1.1086997546706926E-2</v>
      </c>
      <c r="J153">
        <f t="shared" si="4"/>
        <v>8.6601694840829548E-3</v>
      </c>
    </row>
    <row r="154" spans="1:10" x14ac:dyDescent="0.3">
      <c r="A154" s="1">
        <v>45712</v>
      </c>
      <c r="B154" t="s">
        <v>15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>
        <f>Engagement_Summary[[#This Row],[New_Followers]]-Engagement_Summary[[#This Row],[Unfollows]]</f>
        <v>1375</v>
      </c>
      <c r="I154">
        <f>Engagement_Summary[[#This Row],[net followers]]/Engagement_Summary[[#This Row],[Total_Followers]]</f>
        <v>1.0867503398564699E-2</v>
      </c>
      <c r="J154">
        <f t="shared" si="4"/>
        <v>7.233464676023091E-3</v>
      </c>
    </row>
    <row r="155" spans="1:10" x14ac:dyDescent="0.3">
      <c r="A155" s="1">
        <v>45712</v>
      </c>
      <c r="B155" t="s">
        <v>48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>
        <f>Engagement_Summary[[#This Row],[New_Followers]]-Engagement_Summary[[#This Row],[Unfollows]]</f>
        <v>1707</v>
      </c>
      <c r="I155">
        <f>Engagement_Summary[[#This Row],[net followers]]/Engagement_Summary[[#This Row],[Total_Followers]]</f>
        <v>7.4073109768798169E-3</v>
      </c>
      <c r="J155">
        <f t="shared" si="4"/>
        <v>9.7872706407171484E-3</v>
      </c>
    </row>
    <row r="156" spans="1:10" x14ac:dyDescent="0.3">
      <c r="A156" s="1">
        <v>45712</v>
      </c>
      <c r="B156" t="s">
        <v>26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>
        <f>Engagement_Summary[[#This Row],[New_Followers]]-Engagement_Summary[[#This Row],[Unfollows]]</f>
        <v>708</v>
      </c>
      <c r="I156">
        <f>Engagement_Summary[[#This Row],[net followers]]/Engagement_Summary[[#This Row],[Total_Followers]]</f>
        <v>2.2333891680625349E-3</v>
      </c>
      <c r="J156">
        <f t="shared" si="4"/>
        <v>6.836067847835684E-3</v>
      </c>
    </row>
    <row r="157" spans="1:10" x14ac:dyDescent="0.3">
      <c r="A157" s="1">
        <v>45712</v>
      </c>
      <c r="B157" t="s">
        <v>42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>
        <f>Engagement_Summary[[#This Row],[New_Followers]]-Engagement_Summary[[#This Row],[Unfollows]]</f>
        <v>1016</v>
      </c>
      <c r="I157">
        <f>Engagement_Summary[[#This Row],[net followers]]/Engagement_Summary[[#This Row],[Total_Followers]]</f>
        <v>2.1885278918832756E-3</v>
      </c>
      <c r="J157">
        <f t="shared" si="4"/>
        <v>3.9430760122752088E-3</v>
      </c>
    </row>
    <row r="158" spans="1:10" x14ac:dyDescent="0.3">
      <c r="A158" s="1">
        <v>45719</v>
      </c>
      <c r="B158" t="s">
        <v>15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>
        <f>Engagement_Summary[[#This Row],[New_Followers]]-Engagement_Summary[[#This Row],[Unfollows]]</f>
        <v>1315</v>
      </c>
      <c r="I158">
        <f>Engagement_Summary[[#This Row],[net followers]]/Engagement_Summary[[#This Row],[Total_Followers]]</f>
        <v>5.1052298518124532E-3</v>
      </c>
      <c r="J158">
        <f t="shared" si="4"/>
        <v>3.1757156372527544E-3</v>
      </c>
    </row>
    <row r="159" spans="1:10" x14ac:dyDescent="0.3">
      <c r="A159" s="1">
        <v>45719</v>
      </c>
      <c r="B159" t="s">
        <v>48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>
        <f>Engagement_Summary[[#This Row],[New_Followers]]-Engagement_Summary[[#This Row],[Unfollows]]</f>
        <v>-119</v>
      </c>
      <c r="I159">
        <f>Engagement_Summary[[#This Row],[net followers]]/Engagement_Summary[[#This Row],[Total_Followers]]</f>
        <v>-3.2435585380545735E-4</v>
      </c>
      <c r="J159">
        <f t="shared" si="4"/>
        <v>2.3231339632967573E-3</v>
      </c>
    </row>
    <row r="160" spans="1:10" x14ac:dyDescent="0.3">
      <c r="A160" s="1">
        <v>45719</v>
      </c>
      <c r="B160" t="s">
        <v>26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>
        <f>Engagement_Summary[[#This Row],[New_Followers]]-Engagement_Summary[[#This Row],[Unfollows]]</f>
        <v>899</v>
      </c>
      <c r="I160">
        <f>Engagement_Summary[[#This Row],[net followers]]/Engagement_Summary[[#This Row],[Total_Followers]]</f>
        <v>1.9268070513850934E-3</v>
      </c>
      <c r="J160">
        <f t="shared" si="4"/>
        <v>2.2358936831306966E-3</v>
      </c>
    </row>
    <row r="161" spans="1:10" x14ac:dyDescent="0.3">
      <c r="A161" s="1">
        <v>45719</v>
      </c>
      <c r="B161" t="s">
        <v>42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>
        <f>Engagement_Summary[[#This Row],[New_Followers]]-Engagement_Summary[[#This Row],[Unfollows]]</f>
        <v>315</v>
      </c>
      <c r="I161">
        <f>Engagement_Summary[[#This Row],[net followers]]/Engagement_Summary[[#This Row],[Total_Followers]]</f>
        <v>1.4029055733207443E-3</v>
      </c>
      <c r="J161">
        <f t="shared" si="4"/>
        <v>1.001785590300127E-3</v>
      </c>
    </row>
    <row r="162" spans="1:10" x14ac:dyDescent="0.3">
      <c r="A162" s="1">
        <v>45726</v>
      </c>
      <c r="B162" t="s">
        <v>15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>
        <f>Engagement_Summary[[#This Row],[New_Followers]]-Engagement_Summary[[#This Row],[Unfollows]]</f>
        <v>212</v>
      </c>
      <c r="I162">
        <f>Engagement_Summary[[#This Row],[net followers]]/Engagement_Summary[[#This Row],[Total_Followers]]</f>
        <v>4.5873346287504706E-4</v>
      </c>
      <c r="J162">
        <f t="shared" si="4"/>
        <v>1.2628153625269616E-3</v>
      </c>
    </row>
    <row r="163" spans="1:10" x14ac:dyDescent="0.3">
      <c r="A163" s="1">
        <v>45726</v>
      </c>
      <c r="B163" t="s">
        <v>48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>
        <f>Engagement_Summary[[#This Row],[New_Followers]]-Engagement_Summary[[#This Row],[Unfollows]]</f>
        <v>908</v>
      </c>
      <c r="I163">
        <f>Engagement_Summary[[#This Row],[net followers]]/Engagement_Summary[[#This Row],[Total_Followers]]</f>
        <v>2.6639909400836752E-3</v>
      </c>
      <c r="J163">
        <f t="shared" si="4"/>
        <v>1.5085433254264889E-3</v>
      </c>
    </row>
    <row r="164" spans="1:10" x14ac:dyDescent="0.3">
      <c r="A164" s="1">
        <v>45726</v>
      </c>
      <c r="B164" t="s">
        <v>26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>
        <f>Engagement_Summary[[#This Row],[New_Followers]]-Engagement_Summary[[#This Row],[Unfollows]]</f>
        <v>1350</v>
      </c>
      <c r="I164">
        <f>Engagement_Summary[[#This Row],[net followers]]/Engagement_Summary[[#This Row],[Total_Followers]]</f>
        <v>0.10825114265095021</v>
      </c>
      <c r="J164">
        <f t="shared" ref="J164:J195" si="5">AVERAGE(I162:I164)</f>
        <v>3.7124622351302976E-2</v>
      </c>
    </row>
    <row r="165" spans="1:10" x14ac:dyDescent="0.3">
      <c r="A165" s="1">
        <v>45726</v>
      </c>
      <c r="B165" t="s">
        <v>42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>
        <f>Engagement_Summary[[#This Row],[New_Followers]]-Engagement_Summary[[#This Row],[Unfollows]]</f>
        <v>1242</v>
      </c>
      <c r="I165">
        <f>Engagement_Summary[[#This Row],[net followers]]/Engagement_Summary[[#This Row],[Total_Followers]]</f>
        <v>1.2622336046830695E-2</v>
      </c>
      <c r="J165">
        <f t="shared" si="5"/>
        <v>4.1179156545954852E-2</v>
      </c>
    </row>
    <row r="166" spans="1:10" x14ac:dyDescent="0.3">
      <c r="A166" s="1">
        <v>45733</v>
      </c>
      <c r="B166" t="s">
        <v>15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>
        <f>Engagement_Summary[[#This Row],[New_Followers]]-Engagement_Summary[[#This Row],[Unfollows]]</f>
        <v>680</v>
      </c>
      <c r="I166">
        <f>Engagement_Summary[[#This Row],[net followers]]/Engagement_Summary[[#This Row],[Total_Followers]]</f>
        <v>1.6572027392586454E-3</v>
      </c>
      <c r="J166">
        <f t="shared" si="5"/>
        <v>4.0843560479013184E-2</v>
      </c>
    </row>
    <row r="167" spans="1:10" x14ac:dyDescent="0.3">
      <c r="A167" s="1">
        <v>45733</v>
      </c>
      <c r="B167" t="s">
        <v>48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>
        <f>Engagement_Summary[[#This Row],[New_Followers]]-Engagement_Summary[[#This Row],[Unfollows]]</f>
        <v>1116</v>
      </c>
      <c r="I167">
        <f>Engagement_Summary[[#This Row],[net followers]]/Engagement_Summary[[#This Row],[Total_Followers]]</f>
        <v>3.2619275185675578E-3</v>
      </c>
      <c r="J167">
        <f t="shared" si="5"/>
        <v>5.8471554348856333E-3</v>
      </c>
    </row>
    <row r="168" spans="1:10" x14ac:dyDescent="0.3">
      <c r="A168" s="1">
        <v>45733</v>
      </c>
      <c r="B168" t="s">
        <v>26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>
        <f>Engagement_Summary[[#This Row],[New_Followers]]-Engagement_Summary[[#This Row],[Unfollows]]</f>
        <v>861</v>
      </c>
      <c r="I168">
        <f>Engagement_Summary[[#This Row],[net followers]]/Engagement_Summary[[#This Row],[Total_Followers]]</f>
        <v>6.9173294769824048E-2</v>
      </c>
      <c r="J168">
        <f t="shared" si="5"/>
        <v>2.4697475009216749E-2</v>
      </c>
    </row>
    <row r="169" spans="1:10" x14ac:dyDescent="0.3">
      <c r="A169" s="1">
        <v>45733</v>
      </c>
      <c r="B169" t="s">
        <v>42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>
        <f>Engagement_Summary[[#This Row],[New_Followers]]-Engagement_Summary[[#This Row],[Unfollows]]</f>
        <v>1385</v>
      </c>
      <c r="I169">
        <f>Engagement_Summary[[#This Row],[net followers]]/Engagement_Summary[[#This Row],[Total_Followers]]</f>
        <v>7.9689298043728429E-2</v>
      </c>
      <c r="J169">
        <f t="shared" si="5"/>
        <v>5.0708173444040015E-2</v>
      </c>
    </row>
    <row r="170" spans="1:10" x14ac:dyDescent="0.3">
      <c r="A170" s="1">
        <v>45740</v>
      </c>
      <c r="B170" t="s">
        <v>15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>
        <f>Engagement_Summary[[#This Row],[New_Followers]]-Engagement_Summary[[#This Row],[Unfollows]]</f>
        <v>461</v>
      </c>
      <c r="I170">
        <f>Engagement_Summary[[#This Row],[net followers]]/Engagement_Summary[[#This Row],[Total_Followers]]</f>
        <v>1.2636715002329981E-3</v>
      </c>
      <c r="J170">
        <f t="shared" si="5"/>
        <v>5.004208810459515E-2</v>
      </c>
    </row>
    <row r="171" spans="1:10" x14ac:dyDescent="0.3">
      <c r="A171" s="1">
        <v>45740</v>
      </c>
      <c r="B171" t="s">
        <v>48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>
        <f>Engagement_Summary[[#This Row],[New_Followers]]-Engagement_Summary[[#This Row],[Unfollows]]</f>
        <v>474</v>
      </c>
      <c r="I171">
        <f>Engagement_Summary[[#This Row],[net followers]]/Engagement_Summary[[#This Row],[Total_Followers]]</f>
        <v>1.268716241173857E-3</v>
      </c>
      <c r="J171">
        <f t="shared" si="5"/>
        <v>2.7407228595045099E-2</v>
      </c>
    </row>
    <row r="172" spans="1:10" x14ac:dyDescent="0.3">
      <c r="A172" s="1">
        <v>45740</v>
      </c>
      <c r="B172" t="s">
        <v>26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>
        <f>Engagement_Summary[[#This Row],[New_Followers]]-Engagement_Summary[[#This Row],[Unfollows]]</f>
        <v>292</v>
      </c>
      <c r="I172">
        <f>Engagement_Summary[[#This Row],[net followers]]/Engagement_Summary[[#This Row],[Total_Followers]]</f>
        <v>1.3832962243592781E-3</v>
      </c>
      <c r="J172">
        <f t="shared" si="5"/>
        <v>1.3052279885887111E-3</v>
      </c>
    </row>
    <row r="173" spans="1:10" x14ac:dyDescent="0.3">
      <c r="A173" s="1">
        <v>45740</v>
      </c>
      <c r="B173" t="s">
        <v>42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>
        <f>Engagement_Summary[[#This Row],[New_Followers]]-Engagement_Summary[[#This Row],[Unfollows]]</f>
        <v>389</v>
      </c>
      <c r="I173">
        <f>Engagement_Summary[[#This Row],[net followers]]/Engagement_Summary[[#This Row],[Total_Followers]]</f>
        <v>8.8022790888170322E-4</v>
      </c>
      <c r="J173">
        <f t="shared" si="5"/>
        <v>1.1774134581382795E-3</v>
      </c>
    </row>
    <row r="174" spans="1:10" x14ac:dyDescent="0.3">
      <c r="A174" s="1">
        <v>45747</v>
      </c>
      <c r="B174" t="s">
        <v>15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>
        <f>Engagement_Summary[[#This Row],[New_Followers]]-Engagement_Summary[[#This Row],[Unfollows]]</f>
        <v>641</v>
      </c>
      <c r="I174">
        <f>Engagement_Summary[[#This Row],[net followers]]/Engagement_Summary[[#This Row],[Total_Followers]]</f>
        <v>2.2667798288422093E-3</v>
      </c>
      <c r="J174">
        <f t="shared" si="5"/>
        <v>1.5101013206943968E-3</v>
      </c>
    </row>
    <row r="175" spans="1:10" x14ac:dyDescent="0.3">
      <c r="A175" s="1">
        <v>45747</v>
      </c>
      <c r="B175" t="s">
        <v>48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>
        <f>Engagement_Summary[[#This Row],[New_Followers]]-Engagement_Summary[[#This Row],[Unfollows]]</f>
        <v>514</v>
      </c>
      <c r="I175">
        <f>Engagement_Summary[[#This Row],[net followers]]/Engagement_Summary[[#This Row],[Total_Followers]]</f>
        <v>1.3889264193260734E-3</v>
      </c>
      <c r="J175">
        <f t="shared" si="5"/>
        <v>1.5119780523499954E-3</v>
      </c>
    </row>
    <row r="176" spans="1:10" x14ac:dyDescent="0.3">
      <c r="A176" s="1">
        <v>45747</v>
      </c>
      <c r="B176" t="s">
        <v>26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>
        <f>Engagement_Summary[[#This Row],[New_Followers]]-Engagement_Summary[[#This Row],[Unfollows]]</f>
        <v>1676</v>
      </c>
      <c r="I176">
        <f>Engagement_Summary[[#This Row],[net followers]]/Engagement_Summary[[#This Row],[Total_Followers]]</f>
        <v>8.4497101083942528E-3</v>
      </c>
      <c r="J176">
        <f t="shared" si="5"/>
        <v>4.0351387855208452E-3</v>
      </c>
    </row>
    <row r="177" spans="1:10" x14ac:dyDescent="0.3">
      <c r="A177" s="1">
        <v>45747</v>
      </c>
      <c r="B177" t="s">
        <v>42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>
        <f>Engagement_Summary[[#This Row],[New_Followers]]-Engagement_Summary[[#This Row],[Unfollows]]</f>
        <v>1467</v>
      </c>
      <c r="I177">
        <f>Engagement_Summary[[#This Row],[net followers]]/Engagement_Summary[[#This Row],[Total_Followers]]</f>
        <v>3.3667947287974553E-3</v>
      </c>
      <c r="J177">
        <f t="shared" si="5"/>
        <v>4.4018104188392609E-3</v>
      </c>
    </row>
    <row r="178" spans="1:10" x14ac:dyDescent="0.3">
      <c r="A178" s="1">
        <v>45754</v>
      </c>
      <c r="B178" t="s">
        <v>15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>
        <f>Engagement_Summary[[#This Row],[New_Followers]]-Engagement_Summary[[#This Row],[Unfollows]]</f>
        <v>167</v>
      </c>
      <c r="I178">
        <f>Engagement_Summary[[#This Row],[net followers]]/Engagement_Summary[[#This Row],[Total_Followers]]</f>
        <v>2.1195852212872357E-3</v>
      </c>
      <c r="J178">
        <f t="shared" si="5"/>
        <v>4.6453633528263146E-3</v>
      </c>
    </row>
    <row r="179" spans="1:10" x14ac:dyDescent="0.3">
      <c r="A179" s="1">
        <v>45754</v>
      </c>
      <c r="B179" t="s">
        <v>48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f>Engagement_Summary[[#This Row],[New_Followers]]-Engagement_Summary[[#This Row],[Unfollows]]</f>
        <v>1029</v>
      </c>
      <c r="I179">
        <f>Engagement_Summary[[#This Row],[net followers]]/Engagement_Summary[[#This Row],[Total_Followers]]</f>
        <v>1.0436528865268368E-2</v>
      </c>
      <c r="J179">
        <f t="shared" si="5"/>
        <v>5.307636271784353E-3</v>
      </c>
    </row>
    <row r="180" spans="1:10" x14ac:dyDescent="0.3">
      <c r="A180" s="1">
        <v>45754</v>
      </c>
      <c r="B180" t="s">
        <v>26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>
        <f>Engagement_Summary[[#This Row],[New_Followers]]-Engagement_Summary[[#This Row],[Unfollows]]</f>
        <v>1007</v>
      </c>
      <c r="I180">
        <f>Engagement_Summary[[#This Row],[net followers]]/Engagement_Summary[[#This Row],[Total_Followers]]</f>
        <v>3.4032917638311531E-2</v>
      </c>
      <c r="J180">
        <f t="shared" si="5"/>
        <v>1.5529677241622379E-2</v>
      </c>
    </row>
    <row r="181" spans="1:10" x14ac:dyDescent="0.3">
      <c r="A181" s="1">
        <v>45754</v>
      </c>
      <c r="B181" t="s">
        <v>42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>
        <f>Engagement_Summary[[#This Row],[New_Followers]]-Engagement_Summary[[#This Row],[Unfollows]]</f>
        <v>209</v>
      </c>
      <c r="I181">
        <f>Engagement_Summary[[#This Row],[net followers]]/Engagement_Summary[[#This Row],[Total_Followers]]</f>
        <v>7.1981098934404211E-4</v>
      </c>
      <c r="J181">
        <f t="shared" si="5"/>
        <v>1.5063085830974647E-2</v>
      </c>
    </row>
    <row r="182" spans="1:10" x14ac:dyDescent="0.3">
      <c r="A182" s="1">
        <v>45761</v>
      </c>
      <c r="B182" t="s">
        <v>15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>
        <f>Engagement_Summary[[#This Row],[New_Followers]]-Engagement_Summary[[#This Row],[Unfollows]]</f>
        <v>-160</v>
      </c>
      <c r="I182">
        <f>Engagement_Summary[[#This Row],[net followers]]/Engagement_Summary[[#This Row],[Total_Followers]]</f>
        <v>-2.3994481269308059E-3</v>
      </c>
      <c r="J182">
        <f t="shared" si="5"/>
        <v>1.0784426833574924E-2</v>
      </c>
    </row>
    <row r="183" spans="1:10" x14ac:dyDescent="0.3">
      <c r="A183" s="1">
        <v>45761</v>
      </c>
      <c r="B183" t="s">
        <v>48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>
        <f>Engagement_Summary[[#This Row],[New_Followers]]-Engagement_Summary[[#This Row],[Unfollows]]</f>
        <v>-175</v>
      </c>
      <c r="I183">
        <f>Engagement_Summary[[#This Row],[net followers]]/Engagement_Summary[[#This Row],[Total_Followers]]</f>
        <v>-2.4750024750024749E-3</v>
      </c>
      <c r="J183">
        <f t="shared" si="5"/>
        <v>-1.3848798708630797E-3</v>
      </c>
    </row>
    <row r="184" spans="1:10" x14ac:dyDescent="0.3">
      <c r="A184" s="1">
        <v>45761</v>
      </c>
      <c r="B184" t="s">
        <v>26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>
        <f>Engagement_Summary[[#This Row],[New_Followers]]-Engagement_Summary[[#This Row],[Unfollows]]</f>
        <v>53</v>
      </c>
      <c r="I184">
        <f>Engagement_Summary[[#This Row],[net followers]]/Engagement_Summary[[#This Row],[Total_Followers]]</f>
        <v>3.7191155522184875E-4</v>
      </c>
      <c r="J184">
        <f t="shared" si="5"/>
        <v>-1.5008463489038107E-3</v>
      </c>
    </row>
    <row r="185" spans="1:10" x14ac:dyDescent="0.3">
      <c r="A185" s="1">
        <v>45761</v>
      </c>
      <c r="B185" t="s">
        <v>42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>
        <f>Engagement_Summary[[#This Row],[New_Followers]]-Engagement_Summary[[#This Row],[Unfollows]]</f>
        <v>145</v>
      </c>
      <c r="I185">
        <f>Engagement_Summary[[#This Row],[net followers]]/Engagement_Summary[[#This Row],[Total_Followers]]</f>
        <v>3.9239564305527366E-4</v>
      </c>
      <c r="J185">
        <f t="shared" si="5"/>
        <v>-5.7023175890845077E-4</v>
      </c>
    </row>
    <row r="186" spans="1:10" x14ac:dyDescent="0.3">
      <c r="A186" s="1">
        <v>45768</v>
      </c>
      <c r="B186" t="s">
        <v>15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>
        <f>Engagement_Summary[[#This Row],[New_Followers]]-Engagement_Summary[[#This Row],[Unfollows]]</f>
        <v>603</v>
      </c>
      <c r="I186">
        <f>Engagement_Summary[[#This Row],[net followers]]/Engagement_Summary[[#This Row],[Total_Followers]]</f>
        <v>9.5802484827301332E-3</v>
      </c>
      <c r="J186">
        <f t="shared" si="5"/>
        <v>3.4481852270024185E-3</v>
      </c>
    </row>
    <row r="187" spans="1:10" x14ac:dyDescent="0.3">
      <c r="A187" s="1">
        <v>45768</v>
      </c>
      <c r="B187" t="s">
        <v>48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>
        <f>Engagement_Summary[[#This Row],[New_Followers]]-Engagement_Summary[[#This Row],[Unfollows]]</f>
        <v>1045</v>
      </c>
      <c r="I187">
        <f>Engagement_Summary[[#This Row],[net followers]]/Engagement_Summary[[#This Row],[Total_Followers]]</f>
        <v>2.7690774864725927E-3</v>
      </c>
      <c r="J187">
        <f t="shared" si="5"/>
        <v>4.2472405374193332E-3</v>
      </c>
    </row>
    <row r="188" spans="1:10" x14ac:dyDescent="0.3">
      <c r="A188" s="1">
        <v>45768</v>
      </c>
      <c r="B188" t="s">
        <v>26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>
        <f>Engagement_Summary[[#This Row],[New_Followers]]-Engagement_Summary[[#This Row],[Unfollows]]</f>
        <v>759</v>
      </c>
      <c r="I188">
        <f>Engagement_Summary[[#This Row],[net followers]]/Engagement_Summary[[#This Row],[Total_Followers]]</f>
        <v>2.2734693021737242E-3</v>
      </c>
      <c r="J188">
        <f t="shared" si="5"/>
        <v>4.8742650904588167E-3</v>
      </c>
    </row>
    <row r="189" spans="1:10" x14ac:dyDescent="0.3">
      <c r="A189" s="1">
        <v>45768</v>
      </c>
      <c r="B189" t="s">
        <v>42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>
        <f>Engagement_Summary[[#This Row],[New_Followers]]-Engagement_Summary[[#This Row],[Unfollows]]</f>
        <v>1633</v>
      </c>
      <c r="I189">
        <f>Engagement_Summary[[#This Row],[net followers]]/Engagement_Summary[[#This Row],[Total_Followers]]</f>
        <v>6.0267642955734836E-3</v>
      </c>
      <c r="J189">
        <f t="shared" si="5"/>
        <v>3.6897703614065997E-3</v>
      </c>
    </row>
    <row r="190" spans="1:10" x14ac:dyDescent="0.3">
      <c r="A190" s="1">
        <v>45775</v>
      </c>
      <c r="B190" t="s">
        <v>15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>
        <f>Engagement_Summary[[#This Row],[New_Followers]]-Engagement_Summary[[#This Row],[Unfollows]]</f>
        <v>1539</v>
      </c>
      <c r="I190">
        <f>Engagement_Summary[[#This Row],[net followers]]/Engagement_Summary[[#This Row],[Total_Followers]]</f>
        <v>3.4511059684624078E-3</v>
      </c>
      <c r="J190">
        <f t="shared" si="5"/>
        <v>3.9171131887365393E-3</v>
      </c>
    </row>
    <row r="191" spans="1:10" x14ac:dyDescent="0.3">
      <c r="A191" s="1">
        <v>45775</v>
      </c>
      <c r="B191" t="s">
        <v>48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>
        <f>Engagement_Summary[[#This Row],[New_Followers]]-Engagement_Summary[[#This Row],[Unfollows]]</f>
        <v>453</v>
      </c>
      <c r="I191">
        <f>Engagement_Summary[[#This Row],[net followers]]/Engagement_Summary[[#This Row],[Total_Followers]]</f>
        <v>2.014855668727483E-3</v>
      </c>
      <c r="J191">
        <f t="shared" si="5"/>
        <v>3.830908644254458E-3</v>
      </c>
    </row>
    <row r="192" spans="1:10" x14ac:dyDescent="0.3">
      <c r="A192" s="1">
        <v>45775</v>
      </c>
      <c r="B192" t="s">
        <v>26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>
        <f>Engagement_Summary[[#This Row],[New_Followers]]-Engagement_Summary[[#This Row],[Unfollows]]</f>
        <v>948</v>
      </c>
      <c r="I192">
        <f>Engagement_Summary[[#This Row],[net followers]]/Engagement_Summary[[#This Row],[Total_Followers]]</f>
        <v>1.9454574184929272E-3</v>
      </c>
      <c r="J192">
        <f t="shared" si="5"/>
        <v>2.4704730185609396E-3</v>
      </c>
    </row>
    <row r="193" spans="1:10" x14ac:dyDescent="0.3">
      <c r="A193" s="1">
        <v>45775</v>
      </c>
      <c r="B193" t="s">
        <v>42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>
        <f>Engagement_Summary[[#This Row],[New_Followers]]-Engagement_Summary[[#This Row],[Unfollows]]</f>
        <v>637</v>
      </c>
      <c r="I193">
        <f>Engagement_Summary[[#This Row],[net followers]]/Engagement_Summary[[#This Row],[Total_Followers]]</f>
        <v>5.5706165282028861E-2</v>
      </c>
      <c r="J193">
        <f t="shared" si="5"/>
        <v>1.9888826123083091E-2</v>
      </c>
    </row>
    <row r="194" spans="1:10" x14ac:dyDescent="0.3">
      <c r="A194" s="1">
        <v>45782</v>
      </c>
      <c r="B194" t="s">
        <v>15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>
        <f>Engagement_Summary[[#This Row],[New_Followers]]-Engagement_Summary[[#This Row],[Unfollows]]</f>
        <v>1881</v>
      </c>
      <c r="I194">
        <f>Engagement_Summary[[#This Row],[net followers]]/Engagement_Summary[[#This Row],[Total_Followers]]</f>
        <v>4.1995793722733989E-3</v>
      </c>
      <c r="J194">
        <f t="shared" si="5"/>
        <v>2.0617067357598395E-2</v>
      </c>
    </row>
    <row r="195" spans="1:10" x14ac:dyDescent="0.3">
      <c r="A195" s="1">
        <v>45782</v>
      </c>
      <c r="B195" t="s">
        <v>48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>
        <f>Engagement_Summary[[#This Row],[New_Followers]]-Engagement_Summary[[#This Row],[Unfollows]]</f>
        <v>339</v>
      </c>
      <c r="I195">
        <f>Engagement_Summary[[#This Row],[net followers]]/Engagement_Summary[[#This Row],[Total_Followers]]</f>
        <v>8.0965664826031301E-4</v>
      </c>
      <c r="J195">
        <f t="shared" si="5"/>
        <v>2.0238467100854193E-2</v>
      </c>
    </row>
    <row r="196" spans="1:10" x14ac:dyDescent="0.3">
      <c r="A196" s="1">
        <v>45782</v>
      </c>
      <c r="B196" t="s">
        <v>26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>
        <f>Engagement_Summary[[#This Row],[New_Followers]]-Engagement_Summary[[#This Row],[Unfollows]]</f>
        <v>1510</v>
      </c>
      <c r="I196">
        <f>Engagement_Summary[[#This Row],[net followers]]/Engagement_Summary[[#This Row],[Total_Followers]]</f>
        <v>3.1174901520344203E-3</v>
      </c>
      <c r="J196">
        <f t="shared" ref="J196:J201" si="6">AVERAGE(I194:I196)</f>
        <v>2.7089087241893776E-3</v>
      </c>
    </row>
    <row r="197" spans="1:10" x14ac:dyDescent="0.3">
      <c r="A197" s="1">
        <v>45782</v>
      </c>
      <c r="B197" t="s">
        <v>42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>
        <f>Engagement_Summary[[#This Row],[New_Followers]]-Engagement_Summary[[#This Row],[Unfollows]]</f>
        <v>864</v>
      </c>
      <c r="I197">
        <f>Engagement_Summary[[#This Row],[net followers]]/Engagement_Summary[[#This Row],[Total_Followers]]</f>
        <v>5.8190830903102836E-3</v>
      </c>
      <c r="J197">
        <f t="shared" si="6"/>
        <v>3.2487432968683391E-3</v>
      </c>
    </row>
    <row r="198" spans="1:10" x14ac:dyDescent="0.3">
      <c r="A198" s="1">
        <v>45789</v>
      </c>
      <c r="B198" t="s">
        <v>15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>
        <f>Engagement_Summary[[#This Row],[New_Followers]]-Engagement_Summary[[#This Row],[Unfollows]]</f>
        <v>1656</v>
      </c>
      <c r="I198">
        <f>Engagement_Summary[[#This Row],[net followers]]/Engagement_Summary[[#This Row],[Total_Followers]]</f>
        <v>3.5361871958419907E-3</v>
      </c>
      <c r="J198">
        <f t="shared" si="6"/>
        <v>4.1575868127288985E-3</v>
      </c>
    </row>
    <row r="199" spans="1:10" x14ac:dyDescent="0.3">
      <c r="A199" s="1">
        <v>45789</v>
      </c>
      <c r="B199" t="s">
        <v>48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>
        <f>Engagement_Summary[[#This Row],[New_Followers]]-Engagement_Summary[[#This Row],[Unfollows]]</f>
        <v>407</v>
      </c>
      <c r="I199">
        <f>Engagement_Summary[[#This Row],[net followers]]/Engagement_Summary[[#This Row],[Total_Followers]]</f>
        <v>1.1156186612576065E-3</v>
      </c>
      <c r="J199">
        <f t="shared" si="6"/>
        <v>3.4902963158032936E-3</v>
      </c>
    </row>
    <row r="200" spans="1:10" x14ac:dyDescent="0.3">
      <c r="A200" s="1">
        <v>45789</v>
      </c>
      <c r="B200" t="s">
        <v>26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>
        <f>Engagement_Summary[[#This Row],[New_Followers]]-Engagement_Summary[[#This Row],[Unfollows]]</f>
        <v>269</v>
      </c>
      <c r="I200">
        <f>Engagement_Summary[[#This Row],[net followers]]/Engagement_Summary[[#This Row],[Total_Followers]]</f>
        <v>5.8952701962314107E-4</v>
      </c>
      <c r="J200">
        <f t="shared" si="6"/>
        <v>1.7471109589075795E-3</v>
      </c>
    </row>
    <row r="201" spans="1:10" x14ac:dyDescent="0.3">
      <c r="A201" s="1">
        <v>45789</v>
      </c>
      <c r="B201" t="s">
        <v>42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f>Engagement_Summary[[#This Row],[New_Followers]]-Engagement_Summary[[#This Row],[Unfollows]]</f>
        <v>-337</v>
      </c>
      <c r="I201">
        <f>Engagement_Summary[[#This Row],[net followers]]/Engagement_Summary[[#This Row],[Total_Followers]]</f>
        <v>-4.0819787301048958E-3</v>
      </c>
      <c r="J201">
        <f t="shared" si="6"/>
        <v>-7.9227768307471612E-4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2545-5DA5-4C4C-8349-DAAAEA323F88}">
  <dimension ref="A1:I7"/>
  <sheetViews>
    <sheetView workbookViewId="0">
      <selection activeCell="E4" sqref="E4"/>
    </sheetView>
  </sheetViews>
  <sheetFormatPr defaultRowHeight="14.4" x14ac:dyDescent="0.3"/>
  <cols>
    <col min="1" max="1" width="18" bestFit="1" customWidth="1"/>
    <col min="2" max="2" width="12.33203125" bestFit="1" customWidth="1"/>
    <col min="3" max="3" width="11.5546875" bestFit="1" customWidth="1"/>
    <col min="4" max="4" width="16" bestFit="1" customWidth="1"/>
    <col min="5" max="5" width="14.44140625" bestFit="1" customWidth="1"/>
    <col min="6" max="6" width="18.88671875" bestFit="1" customWidth="1"/>
    <col min="7" max="7" width="21.21875" bestFit="1" customWidth="1"/>
    <col min="8" max="8" width="18.109375" customWidth="1"/>
    <col min="9" max="9" width="16.33203125" customWidth="1"/>
  </cols>
  <sheetData>
    <row r="1" spans="1:9" x14ac:dyDescent="0.3">
      <c r="A1" t="s">
        <v>12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383</v>
      </c>
      <c r="I1" t="s">
        <v>384</v>
      </c>
    </row>
    <row r="2" spans="1:9" x14ac:dyDescent="0.3">
      <c r="A2" t="s">
        <v>46</v>
      </c>
      <c r="B2" s="1">
        <v>45458</v>
      </c>
      <c r="C2" s="1">
        <v>45488</v>
      </c>
      <c r="D2" t="s">
        <v>368</v>
      </c>
      <c r="E2">
        <v>150000</v>
      </c>
      <c r="F2" t="s">
        <v>369</v>
      </c>
      <c r="G2" t="s">
        <v>18</v>
      </c>
      <c r="H2">
        <f xml:space="preserve"> AVERAGEIF(Posts[Campaign_Name], Campaign_Metadata[[#This Row],[Campaign_Name]], Posts[Engagement Rate])</f>
        <v>0.12925933904631151</v>
      </c>
      <c r="I2">
        <f>Campaign_Metadata[[#This Row],[ Average Engagement Rate]]/Campaign_Metadata[[#This Row],[Total_Budget]]</f>
        <v>8.6172892697541005E-7</v>
      </c>
    </row>
    <row r="3" spans="1:9" x14ac:dyDescent="0.3">
      <c r="A3" t="s">
        <v>46</v>
      </c>
      <c r="B3" s="1">
        <v>45458</v>
      </c>
      <c r="C3" s="1">
        <v>45488</v>
      </c>
      <c r="D3" t="s">
        <v>368</v>
      </c>
      <c r="E3">
        <v>150000</v>
      </c>
      <c r="F3" t="s">
        <v>369</v>
      </c>
      <c r="G3" t="s">
        <v>23</v>
      </c>
      <c r="H3">
        <f xml:space="preserve"> AVERAGEIF(Posts[Campaign_Name], Campaign_Metadata[[#This Row],[Campaign_Name]], Posts[Engagement Rate])</f>
        <v>0.12925933904631151</v>
      </c>
      <c r="I3">
        <f>Campaign_Metadata[[#This Row],[ Average Engagement Rate]]/Campaign_Metadata[[#This Row],[Total_Budget]]</f>
        <v>8.6172892697541005E-7</v>
      </c>
    </row>
    <row r="4" spans="1:9" x14ac:dyDescent="0.3">
      <c r="A4" t="s">
        <v>40</v>
      </c>
      <c r="B4" s="1">
        <v>45566</v>
      </c>
      <c r="C4" s="1">
        <v>45596</v>
      </c>
      <c r="D4" t="s">
        <v>370</v>
      </c>
      <c r="E4">
        <v>200000</v>
      </c>
      <c r="F4" t="s">
        <v>371</v>
      </c>
      <c r="G4" t="s">
        <v>372</v>
      </c>
      <c r="H4">
        <f xml:space="preserve"> AVERAGEIF(Posts[Campaign_Name], Campaign_Metadata[[#This Row],[Campaign_Name]], Posts[Engagement Rate])</f>
        <v>0.14125279041043609</v>
      </c>
      <c r="I4">
        <f>Campaign_Metadata[[#This Row],[ Average Engagement Rate]]/Campaign_Metadata[[#This Row],[Total_Budget]]</f>
        <v>7.0626395205218042E-7</v>
      </c>
    </row>
    <row r="5" spans="1:9" x14ac:dyDescent="0.3">
      <c r="A5" t="s">
        <v>36</v>
      </c>
      <c r="B5" s="1">
        <v>45651</v>
      </c>
      <c r="C5" s="1">
        <v>45667</v>
      </c>
      <c r="D5" t="s">
        <v>373</v>
      </c>
      <c r="E5">
        <v>250000</v>
      </c>
      <c r="F5" t="s">
        <v>374</v>
      </c>
      <c r="G5" t="s">
        <v>375</v>
      </c>
      <c r="H5">
        <f xml:space="preserve"> AVERAGEIF(Posts[Campaign_Name], Campaign_Metadata[[#This Row],[Campaign_Name]], Posts[Engagement Rate])</f>
        <v>0.14399918848283905</v>
      </c>
      <c r="I5">
        <f>Campaign_Metadata[[#This Row],[ Average Engagement Rate]]/Campaign_Metadata[[#This Row],[Total_Budget]]</f>
        <v>5.7599675393135619E-7</v>
      </c>
    </row>
    <row r="6" spans="1:9" x14ac:dyDescent="0.3">
      <c r="A6" t="s">
        <v>24</v>
      </c>
      <c r="B6" s="1">
        <v>45717</v>
      </c>
      <c r="C6" s="1">
        <v>45747</v>
      </c>
      <c r="D6" t="s">
        <v>376</v>
      </c>
      <c r="E6">
        <v>180000</v>
      </c>
      <c r="F6" t="s">
        <v>377</v>
      </c>
      <c r="G6" t="s">
        <v>378</v>
      </c>
      <c r="H6">
        <f xml:space="preserve"> AVERAGEIF(Posts[Campaign_Name], Campaign_Metadata[[#This Row],[Campaign_Name]], Posts[Engagement Rate])</f>
        <v>0.15203855581054102</v>
      </c>
      <c r="I6">
        <f>Campaign_Metadata[[#This Row],[ Average Engagement Rate]]/Campaign_Metadata[[#This Row],[Total_Budget]]</f>
        <v>8.4465864339189456E-7</v>
      </c>
    </row>
    <row r="7" spans="1:9" x14ac:dyDescent="0.3">
      <c r="A7" t="s">
        <v>24</v>
      </c>
      <c r="B7" s="1">
        <v>45717</v>
      </c>
      <c r="C7" s="1">
        <v>45747</v>
      </c>
      <c r="D7" t="s">
        <v>376</v>
      </c>
      <c r="E7">
        <v>180000</v>
      </c>
      <c r="F7" t="s">
        <v>377</v>
      </c>
      <c r="G7" t="s">
        <v>32</v>
      </c>
      <c r="H7">
        <f xml:space="preserve"> AVERAGEIF(Posts[Campaign_Name], Campaign_Metadata[[#This Row],[Campaign_Name]], Posts[Engagement Rate])</f>
        <v>0.15203855581054102</v>
      </c>
      <c r="I7">
        <f>Campaign_Metadata[[#This Row],[ Average Engagement Rate]]/Campaign_Metadata[[#This Row],[Total_Budget]]</f>
        <v>8.4465864339189456E-7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1BC6-6CD1-4F4A-B00F-736921B10708}">
  <dimension ref="A3:F55"/>
  <sheetViews>
    <sheetView topLeftCell="C1" workbookViewId="0">
      <selection activeCell="E16" sqref="E16"/>
    </sheetView>
  </sheetViews>
  <sheetFormatPr defaultRowHeight="14.4" x14ac:dyDescent="0.3"/>
  <cols>
    <col min="1" max="1" width="17.6640625" bestFit="1" customWidth="1"/>
    <col min="2" max="2" width="16.33203125" bestFit="1" customWidth="1"/>
    <col min="3" max="6" width="12.6640625" bestFit="1" customWidth="1"/>
  </cols>
  <sheetData>
    <row r="3" spans="1:6" x14ac:dyDescent="0.3">
      <c r="A3" s="2" t="s">
        <v>387</v>
      </c>
      <c r="B3" s="2" t="s">
        <v>381</v>
      </c>
    </row>
    <row r="4" spans="1:6" x14ac:dyDescent="0.3">
      <c r="A4" s="2" t="s">
        <v>379</v>
      </c>
      <c r="B4" t="s">
        <v>48</v>
      </c>
      <c r="C4" t="s">
        <v>15</v>
      </c>
      <c r="D4" t="s">
        <v>26</v>
      </c>
      <c r="E4" t="s">
        <v>42</v>
      </c>
      <c r="F4" t="s">
        <v>380</v>
      </c>
    </row>
    <row r="5" spans="1:6" x14ac:dyDescent="0.3">
      <c r="A5" s="3">
        <v>45446</v>
      </c>
      <c r="B5">
        <v>2.3491348994232664E-2</v>
      </c>
      <c r="C5">
        <v>3.0428616268120576E-3</v>
      </c>
      <c r="D5">
        <v>2.826320879360366E-3</v>
      </c>
      <c r="E5">
        <v>2.7557542170624167E-3</v>
      </c>
      <c r="F5">
        <v>3.2116285717467503E-2</v>
      </c>
    </row>
    <row r="6" spans="1:6" x14ac:dyDescent="0.3">
      <c r="A6" s="3">
        <v>45453</v>
      </c>
      <c r="B6">
        <v>4.0530081660374974E-3</v>
      </c>
      <c r="C6">
        <v>1.0517322049758936E-2</v>
      </c>
      <c r="D6">
        <v>7.3128442639386348E-4</v>
      </c>
      <c r="E6">
        <v>2.4016739232334168E-3</v>
      </c>
      <c r="F6">
        <v>1.7703288565423712E-2</v>
      </c>
    </row>
    <row r="7" spans="1:6" x14ac:dyDescent="0.3">
      <c r="A7" s="3">
        <v>45460</v>
      </c>
      <c r="B7">
        <v>8.1535847453627231E-3</v>
      </c>
      <c r="C7">
        <v>1.9542790614208243E-3</v>
      </c>
      <c r="D7">
        <v>1.0551445425805821E-2</v>
      </c>
      <c r="E7">
        <v>8.80238003818718E-4</v>
      </c>
      <c r="F7">
        <v>2.1539547236408087E-2</v>
      </c>
    </row>
    <row r="8" spans="1:6" x14ac:dyDescent="0.3">
      <c r="A8" s="3">
        <v>45467</v>
      </c>
      <c r="B8">
        <v>6.3510173036698994E-2</v>
      </c>
      <c r="C8">
        <v>1.7636832660385824E-2</v>
      </c>
      <c r="D8">
        <v>2.798060458211721E-3</v>
      </c>
      <c r="E8">
        <v>-2.8860773750305035E-4</v>
      </c>
      <c r="F8">
        <v>8.3656458417793483E-2</v>
      </c>
    </row>
    <row r="9" spans="1:6" x14ac:dyDescent="0.3">
      <c r="A9" s="3">
        <v>45474</v>
      </c>
      <c r="B9">
        <v>2.9088264703208797E-4</v>
      </c>
      <c r="C9">
        <v>-5.2211602419375983E-4</v>
      </c>
      <c r="D9">
        <v>4.3037693661692649E-3</v>
      </c>
      <c r="E9">
        <v>8.0050669434719116E-4</v>
      </c>
      <c r="F9">
        <v>4.8730426833547844E-3</v>
      </c>
    </row>
    <row r="10" spans="1:6" x14ac:dyDescent="0.3">
      <c r="A10" s="3">
        <v>45481</v>
      </c>
      <c r="B10">
        <v>1.2276812319721568E-3</v>
      </c>
      <c r="C10">
        <v>2.8717173625543171E-2</v>
      </c>
      <c r="D10">
        <v>1.40324773607655E-3</v>
      </c>
      <c r="E10">
        <v>2.1994574101175039E-3</v>
      </c>
      <c r="F10">
        <v>3.3547560003709384E-2</v>
      </c>
    </row>
    <row r="11" spans="1:6" x14ac:dyDescent="0.3">
      <c r="A11" s="3">
        <v>45488</v>
      </c>
      <c r="B11">
        <v>-4.9009939454794306E-4</v>
      </c>
      <c r="C11">
        <v>1.1967386439556591E-2</v>
      </c>
      <c r="D11">
        <v>1.8982132901478749E-3</v>
      </c>
      <c r="E11">
        <v>1.0211701333265254E-3</v>
      </c>
      <c r="F11">
        <v>1.4396670468483048E-2</v>
      </c>
    </row>
    <row r="12" spans="1:6" x14ac:dyDescent="0.3">
      <c r="A12" s="3">
        <v>45495</v>
      </c>
      <c r="B12">
        <v>3.2572737872501967E-3</v>
      </c>
      <c r="C12">
        <v>3.3557613568250698E-4</v>
      </c>
      <c r="D12">
        <v>6.6371458255580548E-3</v>
      </c>
      <c r="E12">
        <v>1.0340418313957282E-3</v>
      </c>
      <c r="F12">
        <v>1.1264037579886485E-2</v>
      </c>
    </row>
    <row r="13" spans="1:6" x14ac:dyDescent="0.3">
      <c r="A13" s="3">
        <v>45502</v>
      </c>
      <c r="B13">
        <v>-7.3097734889686784E-4</v>
      </c>
      <c r="C13">
        <v>2.2861730899256253E-2</v>
      </c>
      <c r="D13">
        <v>5.1986619096302169E-3</v>
      </c>
      <c r="E13">
        <v>7.600121601945631E-3</v>
      </c>
      <c r="F13">
        <v>3.4929537061935238E-2</v>
      </c>
    </row>
    <row r="14" spans="1:6" x14ac:dyDescent="0.3">
      <c r="A14" s="3">
        <v>45509</v>
      </c>
      <c r="B14">
        <v>-1.5755714445670778E-3</v>
      </c>
      <c r="C14">
        <v>8.0371168669857163E-4</v>
      </c>
      <c r="D14">
        <v>7.2889860753698943E-4</v>
      </c>
      <c r="E14">
        <v>9.9485420240137223E-4</v>
      </c>
      <c r="F14">
        <v>9.5189305206985547E-4</v>
      </c>
    </row>
    <row r="15" spans="1:6" x14ac:dyDescent="0.3">
      <c r="A15" s="3">
        <v>45516</v>
      </c>
      <c r="B15">
        <v>4.3366318609156986E-3</v>
      </c>
      <c r="C15">
        <v>2.7085701202809553E-3</v>
      </c>
      <c r="D15">
        <v>8.5080354946042954E-5</v>
      </c>
      <c r="E15">
        <v>1.011348268360087E-2</v>
      </c>
      <c r="F15">
        <v>1.7243765019743569E-2</v>
      </c>
    </row>
    <row r="16" spans="1:6" x14ac:dyDescent="0.3">
      <c r="A16" s="3">
        <v>45523</v>
      </c>
      <c r="B16">
        <v>5.7523759813836147E-3</v>
      </c>
      <c r="C16">
        <v>2.335271198731579E-4</v>
      </c>
      <c r="D16">
        <v>8.825634093981077E-3</v>
      </c>
      <c r="E16">
        <v>2.1728440241071327E-3</v>
      </c>
      <c r="F16">
        <v>1.6984381219344983E-2</v>
      </c>
    </row>
    <row r="17" spans="1:6" x14ac:dyDescent="0.3">
      <c r="A17" s="3">
        <v>45530</v>
      </c>
      <c r="B17">
        <v>9.7527544941747058E-5</v>
      </c>
      <c r="C17">
        <v>3.5456226214689766E-3</v>
      </c>
      <c r="D17">
        <v>6.5914381026955706E-3</v>
      </c>
      <c r="E17">
        <v>1.1713324743561855E-4</v>
      </c>
      <c r="F17">
        <v>1.0351721516541913E-2</v>
      </c>
    </row>
    <row r="18" spans="1:6" x14ac:dyDescent="0.3">
      <c r="A18" s="3">
        <v>45537</v>
      </c>
      <c r="B18">
        <v>2.1026918479944948E-3</v>
      </c>
      <c r="C18">
        <v>1.2306082974775983E-2</v>
      </c>
      <c r="D18">
        <v>6.1798299135137512E-4</v>
      </c>
      <c r="E18">
        <v>8.9764429025449434E-4</v>
      </c>
      <c r="F18">
        <v>1.5924402104376349E-2</v>
      </c>
    </row>
    <row r="19" spans="1:6" x14ac:dyDescent="0.3">
      <c r="A19" s="3">
        <v>45544</v>
      </c>
      <c r="B19">
        <v>4.6435400163889647E-3</v>
      </c>
      <c r="C19">
        <v>4.1581361392816901E-3</v>
      </c>
      <c r="D19">
        <v>5.990134708914012E-4</v>
      </c>
      <c r="E19">
        <v>1.7032345973398571E-2</v>
      </c>
      <c r="F19">
        <v>2.6433035599960627E-2</v>
      </c>
    </row>
    <row r="20" spans="1:6" x14ac:dyDescent="0.3">
      <c r="A20" s="3">
        <v>45551</v>
      </c>
      <c r="B20">
        <v>2.0668041724136477E-4</v>
      </c>
      <c r="C20">
        <v>7.4222825979957871E-3</v>
      </c>
      <c r="D20">
        <v>2.8673012960201858E-3</v>
      </c>
      <c r="E20">
        <v>-2.6681341404439108E-4</v>
      </c>
      <c r="F20">
        <v>1.0229450897212947E-2</v>
      </c>
    </row>
    <row r="21" spans="1:6" x14ac:dyDescent="0.3">
      <c r="A21" s="3">
        <v>45558</v>
      </c>
      <c r="B21">
        <v>-7.9248226299566635E-5</v>
      </c>
      <c r="C21">
        <v>1.5758651286601596E-3</v>
      </c>
      <c r="D21">
        <v>6.2566104068286429E-3</v>
      </c>
      <c r="E21">
        <v>1.592351646960128E-2</v>
      </c>
      <c r="F21">
        <v>2.3676743778790518E-2</v>
      </c>
    </row>
    <row r="22" spans="1:6" x14ac:dyDescent="0.3">
      <c r="A22" s="3">
        <v>45565</v>
      </c>
      <c r="B22">
        <v>-3.9477485703195471E-4</v>
      </c>
      <c r="C22">
        <v>2.7682576721248606E-3</v>
      </c>
      <c r="D22">
        <v>9.2287307798970819E-3</v>
      </c>
      <c r="E22">
        <v>1.8079694785926241E-2</v>
      </c>
      <c r="F22">
        <v>2.9681908380916229E-2</v>
      </c>
    </row>
    <row r="23" spans="1:6" x14ac:dyDescent="0.3">
      <c r="A23" s="3">
        <v>45572</v>
      </c>
      <c r="B23">
        <v>4.3810281972675247E-3</v>
      </c>
      <c r="C23">
        <v>1.0000908202133741E-2</v>
      </c>
      <c r="D23">
        <v>2.2456063766826309E-4</v>
      </c>
      <c r="E23">
        <v>1.0019784829366461E-3</v>
      </c>
      <c r="F23">
        <v>1.5608475520006175E-2</v>
      </c>
    </row>
    <row r="24" spans="1:6" x14ac:dyDescent="0.3">
      <c r="A24" s="3">
        <v>45579</v>
      </c>
      <c r="B24">
        <v>1.8083871090552605E-3</v>
      </c>
      <c r="C24">
        <v>3.1501331857780751E-3</v>
      </c>
      <c r="D24">
        <v>-6.456361452939582E-5</v>
      </c>
      <c r="E24">
        <v>1.8425729749269497E-3</v>
      </c>
      <c r="F24">
        <v>6.7365296552308893E-3</v>
      </c>
    </row>
    <row r="25" spans="1:6" x14ac:dyDescent="0.3">
      <c r="A25" s="3">
        <v>45586</v>
      </c>
      <c r="B25">
        <v>1.8687212668142345E-2</v>
      </c>
      <c r="C25">
        <v>7.3371064356504961E-4</v>
      </c>
      <c r="D25">
        <v>2.4623771231227277E-3</v>
      </c>
      <c r="E25">
        <v>5.7763419096181542E-3</v>
      </c>
      <c r="F25">
        <v>2.7659642344448281E-2</v>
      </c>
    </row>
    <row r="26" spans="1:6" x14ac:dyDescent="0.3">
      <c r="A26" s="3">
        <v>45593</v>
      </c>
      <c r="B26">
        <v>1.8382090319876945E-3</v>
      </c>
      <c r="C26">
        <v>1.6622321237901201E-3</v>
      </c>
      <c r="D26">
        <v>1.5381417584701726E-4</v>
      </c>
      <c r="E26">
        <v>5.4180958515762179E-3</v>
      </c>
      <c r="F26">
        <v>9.0723511832010509E-3</v>
      </c>
    </row>
    <row r="27" spans="1:6" x14ac:dyDescent="0.3">
      <c r="A27" s="3">
        <v>45600</v>
      </c>
      <c r="B27">
        <v>1.6918035252172713E-3</v>
      </c>
      <c r="C27">
        <v>2.5430053699827069E-2</v>
      </c>
      <c r="D27">
        <v>3.6508153411678964E-3</v>
      </c>
      <c r="E27">
        <v>4.0317597627286209E-3</v>
      </c>
      <c r="F27">
        <v>3.4804432328940857E-2</v>
      </c>
    </row>
    <row r="28" spans="1:6" x14ac:dyDescent="0.3">
      <c r="A28" s="3">
        <v>45607</v>
      </c>
      <c r="B28">
        <v>-3.4250669665215861E-4</v>
      </c>
      <c r="C28">
        <v>1.7550345364335054E-2</v>
      </c>
      <c r="D28">
        <v>1.3172212358971423E-2</v>
      </c>
      <c r="E28">
        <v>2.8821299683708945E-3</v>
      </c>
      <c r="F28">
        <v>3.326218099502521E-2</v>
      </c>
    </row>
    <row r="29" spans="1:6" x14ac:dyDescent="0.3">
      <c r="A29" s="3">
        <v>45614</v>
      </c>
      <c r="B29">
        <v>2.1248528096751631E-4</v>
      </c>
      <c r="C29">
        <v>-9.5914811987394058E-4</v>
      </c>
      <c r="D29">
        <v>9.1277744844858602E-4</v>
      </c>
      <c r="E29">
        <v>1.9887634863023914E-4</v>
      </c>
      <c r="F29">
        <v>3.6499095817240084E-4</v>
      </c>
    </row>
    <row r="30" spans="1:6" x14ac:dyDescent="0.3">
      <c r="A30" s="3">
        <v>45621</v>
      </c>
      <c r="B30">
        <v>3.9565022381564839E-3</v>
      </c>
      <c r="C30">
        <v>5.9936417126309005E-3</v>
      </c>
      <c r="D30">
        <v>1.1079079758069075E-3</v>
      </c>
      <c r="E30">
        <v>1.4152074838090669E-2</v>
      </c>
      <c r="F30">
        <v>2.5210126764684961E-2</v>
      </c>
    </row>
    <row r="31" spans="1:6" x14ac:dyDescent="0.3">
      <c r="A31" s="3">
        <v>45628</v>
      </c>
      <c r="B31">
        <v>3.6277109484146308E-3</v>
      </c>
      <c r="C31">
        <v>3.8511033114748661E-3</v>
      </c>
      <c r="D31">
        <v>3.7850431101244257E-3</v>
      </c>
      <c r="E31">
        <v>1.3151115811166245E-3</v>
      </c>
      <c r="F31">
        <v>1.2578968951130547E-2</v>
      </c>
    </row>
    <row r="32" spans="1:6" x14ac:dyDescent="0.3">
      <c r="A32" s="3">
        <v>45635</v>
      </c>
      <c r="B32">
        <v>3.8307014117515761E-2</v>
      </c>
      <c r="C32">
        <v>5.0721615839286359E-3</v>
      </c>
      <c r="D32">
        <v>8.3806473528412681E-2</v>
      </c>
      <c r="E32">
        <v>1.2679964770499277E-3</v>
      </c>
      <c r="F32">
        <v>0.12845364570690701</v>
      </c>
    </row>
    <row r="33" spans="1:6" x14ac:dyDescent="0.3">
      <c r="A33" s="3">
        <v>45642</v>
      </c>
      <c r="B33">
        <v>3.311568846722701E-3</v>
      </c>
      <c r="C33">
        <v>3.0759118725472716E-3</v>
      </c>
      <c r="D33">
        <v>4.1536387893013997E-3</v>
      </c>
      <c r="E33">
        <v>1.7917737946946315E-3</v>
      </c>
      <c r="F33">
        <v>1.2332893303266004E-2</v>
      </c>
    </row>
    <row r="34" spans="1:6" x14ac:dyDescent="0.3">
      <c r="A34" s="3">
        <v>45649</v>
      </c>
      <c r="B34">
        <v>7.8202834584935772E-3</v>
      </c>
      <c r="C34">
        <v>2.4359408109118751E-3</v>
      </c>
      <c r="D34">
        <v>1.1230414576116569E-2</v>
      </c>
      <c r="E34">
        <v>6.3113158835445049E-2</v>
      </c>
      <c r="F34">
        <v>8.4599797680967065E-2</v>
      </c>
    </row>
    <row r="35" spans="1:6" x14ac:dyDescent="0.3">
      <c r="A35" s="3">
        <v>45656</v>
      </c>
      <c r="B35">
        <v>4.6806929323118035E-3</v>
      </c>
      <c r="C35">
        <v>1.253515525127127E-2</v>
      </c>
      <c r="D35">
        <v>5.5634189738421064E-3</v>
      </c>
      <c r="E35">
        <v>1.0669005078738719E-2</v>
      </c>
      <c r="F35">
        <v>3.3448272236163902E-2</v>
      </c>
    </row>
    <row r="36" spans="1:6" x14ac:dyDescent="0.3">
      <c r="A36" s="3">
        <v>45663</v>
      </c>
      <c r="B36">
        <v>6.4766839378238338E-3</v>
      </c>
      <c r="C36">
        <v>1.9361810704529763E-3</v>
      </c>
      <c r="D36">
        <v>3.2008104408927781E-3</v>
      </c>
      <c r="E36">
        <v>8.8669950738916262E-3</v>
      </c>
      <c r="F36">
        <v>2.0480670523061212E-2</v>
      </c>
    </row>
    <row r="37" spans="1:6" x14ac:dyDescent="0.3">
      <c r="A37" s="3">
        <v>45670</v>
      </c>
      <c r="B37">
        <v>1.3262186302564765E-3</v>
      </c>
      <c r="C37">
        <v>4.9282654051223049E-3</v>
      </c>
      <c r="D37">
        <v>-2.9514486693885583E-4</v>
      </c>
      <c r="E37">
        <v>6.2409087760615087E-2</v>
      </c>
      <c r="F37">
        <v>6.836842692905501E-2</v>
      </c>
    </row>
    <row r="38" spans="1:6" x14ac:dyDescent="0.3">
      <c r="A38" s="3">
        <v>45677</v>
      </c>
      <c r="B38">
        <v>8.9052952094934197E-4</v>
      </c>
      <c r="C38">
        <v>4.0971536250166149E-3</v>
      </c>
      <c r="D38">
        <v>7.1621491270377159E-3</v>
      </c>
      <c r="E38">
        <v>2.1486931256659019E-3</v>
      </c>
      <c r="F38">
        <v>1.4298525398669574E-2</v>
      </c>
    </row>
    <row r="39" spans="1:6" x14ac:dyDescent="0.3">
      <c r="A39" s="3">
        <v>45684</v>
      </c>
      <c r="B39">
        <v>2.7948348464241365E-3</v>
      </c>
      <c r="C39">
        <v>-4.6464109274628077E-4</v>
      </c>
      <c r="D39">
        <v>5.4309533874905263E-3</v>
      </c>
      <c r="E39">
        <v>2.6534161921203288E-3</v>
      </c>
      <c r="F39">
        <v>1.0414563333288711E-2</v>
      </c>
    </row>
    <row r="40" spans="1:6" x14ac:dyDescent="0.3">
      <c r="A40" s="3">
        <v>45691</v>
      </c>
      <c r="B40">
        <v>5.5005257855530306E-3</v>
      </c>
      <c r="C40">
        <v>3.0720567989168156E-3</v>
      </c>
      <c r="D40">
        <v>3.2046588643454949E-3</v>
      </c>
      <c r="E40">
        <v>-7.4972485467156139E-4</v>
      </c>
      <c r="F40">
        <v>1.102751659414378E-2</v>
      </c>
    </row>
    <row r="41" spans="1:6" x14ac:dyDescent="0.3">
      <c r="A41" s="3">
        <v>45698</v>
      </c>
      <c r="B41">
        <v>2.9427518601934728E-3</v>
      </c>
      <c r="C41">
        <v>7.7568587198256845E-3</v>
      </c>
      <c r="D41">
        <v>9.4958208908059605E-3</v>
      </c>
      <c r="E41">
        <v>2.9756017144741179E-3</v>
      </c>
      <c r="F41">
        <v>2.3171033185299235E-2</v>
      </c>
    </row>
    <row r="42" spans="1:6" x14ac:dyDescent="0.3">
      <c r="A42" s="3">
        <v>45705</v>
      </c>
      <c r="B42">
        <v>1.5147617822744291E-2</v>
      </c>
      <c r="C42">
        <v>2.1291007252180398E-3</v>
      </c>
      <c r="D42">
        <v>-2.5410691720235154E-4</v>
      </c>
      <c r="E42">
        <v>1.1086997546706926E-2</v>
      </c>
      <c r="F42">
        <v>2.8109609177466903E-2</v>
      </c>
    </row>
    <row r="43" spans="1:6" x14ac:dyDescent="0.3">
      <c r="A43" s="3">
        <v>45712</v>
      </c>
      <c r="B43">
        <v>7.4073109768798169E-3</v>
      </c>
      <c r="C43">
        <v>1.0867503398564699E-2</v>
      </c>
      <c r="D43">
        <v>2.2333891680625349E-3</v>
      </c>
      <c r="E43">
        <v>2.1885278918832756E-3</v>
      </c>
      <c r="F43">
        <v>2.2696731435390326E-2</v>
      </c>
    </row>
    <row r="44" spans="1:6" x14ac:dyDescent="0.3">
      <c r="A44" s="3">
        <v>45719</v>
      </c>
      <c r="B44">
        <v>-3.2435585380545735E-4</v>
      </c>
      <c r="C44">
        <v>5.1052298518124532E-3</v>
      </c>
      <c r="D44">
        <v>1.9268070513850934E-3</v>
      </c>
      <c r="E44">
        <v>1.4029055733207443E-3</v>
      </c>
      <c r="F44">
        <v>8.1105866227128339E-3</v>
      </c>
    </row>
    <row r="45" spans="1:6" x14ac:dyDescent="0.3">
      <c r="A45" s="3">
        <v>45726</v>
      </c>
      <c r="B45">
        <v>2.6639909400836752E-3</v>
      </c>
      <c r="C45">
        <v>4.5873346287504706E-4</v>
      </c>
      <c r="D45">
        <v>0.10825114265095021</v>
      </c>
      <c r="E45">
        <v>1.2622336046830695E-2</v>
      </c>
      <c r="F45">
        <v>0.12399620310073961</v>
      </c>
    </row>
    <row r="46" spans="1:6" x14ac:dyDescent="0.3">
      <c r="A46" s="3">
        <v>45733</v>
      </c>
      <c r="B46">
        <v>3.2619275185675578E-3</v>
      </c>
      <c r="C46">
        <v>1.6572027392586454E-3</v>
      </c>
      <c r="D46">
        <v>6.9173294769824048E-2</v>
      </c>
      <c r="E46">
        <v>7.9689298043728429E-2</v>
      </c>
      <c r="F46">
        <v>0.15378172307137866</v>
      </c>
    </row>
    <row r="47" spans="1:6" x14ac:dyDescent="0.3">
      <c r="A47" s="3">
        <v>45740</v>
      </c>
      <c r="B47">
        <v>1.268716241173857E-3</v>
      </c>
      <c r="C47">
        <v>1.2636715002329981E-3</v>
      </c>
      <c r="D47">
        <v>1.3832962243592781E-3</v>
      </c>
      <c r="E47">
        <v>8.8022790888170322E-4</v>
      </c>
      <c r="F47">
        <v>4.7959118746478367E-3</v>
      </c>
    </row>
    <row r="48" spans="1:6" x14ac:dyDescent="0.3">
      <c r="A48" s="3">
        <v>45747</v>
      </c>
      <c r="B48">
        <v>1.3889264193260734E-3</v>
      </c>
      <c r="C48">
        <v>2.2667798288422093E-3</v>
      </c>
      <c r="D48">
        <v>8.4497101083942528E-3</v>
      </c>
      <c r="E48">
        <v>3.3667947287974553E-3</v>
      </c>
      <c r="F48">
        <v>1.5472211085359991E-2</v>
      </c>
    </row>
    <row r="49" spans="1:6" x14ac:dyDescent="0.3">
      <c r="A49" s="3">
        <v>45754</v>
      </c>
      <c r="B49">
        <v>1.0436528865268368E-2</v>
      </c>
      <c r="C49">
        <v>2.1195852212872357E-3</v>
      </c>
      <c r="D49">
        <v>3.4032917638311531E-2</v>
      </c>
      <c r="E49">
        <v>7.1981098934404211E-4</v>
      </c>
      <c r="F49">
        <v>4.730884271421118E-2</v>
      </c>
    </row>
    <row r="50" spans="1:6" x14ac:dyDescent="0.3">
      <c r="A50" s="3">
        <v>45761</v>
      </c>
      <c r="B50">
        <v>-2.4750024750024749E-3</v>
      </c>
      <c r="C50">
        <v>-2.3994481269308059E-3</v>
      </c>
      <c r="D50">
        <v>3.7191155522184875E-4</v>
      </c>
      <c r="E50">
        <v>3.9239564305527366E-4</v>
      </c>
      <c r="F50">
        <v>-4.110143403656159E-3</v>
      </c>
    </row>
    <row r="51" spans="1:6" x14ac:dyDescent="0.3">
      <c r="A51" s="3">
        <v>45768</v>
      </c>
      <c r="B51">
        <v>2.7690774864725927E-3</v>
      </c>
      <c r="C51">
        <v>9.5802484827301332E-3</v>
      </c>
      <c r="D51">
        <v>2.2734693021737242E-3</v>
      </c>
      <c r="E51">
        <v>6.0267642955734836E-3</v>
      </c>
      <c r="F51">
        <v>2.0649559566949933E-2</v>
      </c>
    </row>
    <row r="52" spans="1:6" x14ac:dyDescent="0.3">
      <c r="A52" s="3">
        <v>45775</v>
      </c>
      <c r="B52">
        <v>2.014855668727483E-3</v>
      </c>
      <c r="C52">
        <v>3.4511059684624078E-3</v>
      </c>
      <c r="D52">
        <v>1.9454574184929272E-3</v>
      </c>
      <c r="E52">
        <v>5.5706165282028861E-2</v>
      </c>
      <c r="F52">
        <v>6.3117584337711682E-2</v>
      </c>
    </row>
    <row r="53" spans="1:6" x14ac:dyDescent="0.3">
      <c r="A53" s="3">
        <v>45782</v>
      </c>
      <c r="B53">
        <v>8.0965664826031301E-4</v>
      </c>
      <c r="C53">
        <v>4.1995793722733989E-3</v>
      </c>
      <c r="D53">
        <v>3.1174901520344203E-3</v>
      </c>
      <c r="E53">
        <v>5.8190830903102836E-3</v>
      </c>
      <c r="F53">
        <v>1.3945809262878417E-2</v>
      </c>
    </row>
    <row r="54" spans="1:6" x14ac:dyDescent="0.3">
      <c r="A54" s="3">
        <v>45789</v>
      </c>
      <c r="B54">
        <v>1.1156186612576065E-3</v>
      </c>
      <c r="C54">
        <v>3.5361871958419907E-3</v>
      </c>
      <c r="D54">
        <v>5.8952701962314107E-4</v>
      </c>
      <c r="E54">
        <v>-4.0819787301048958E-3</v>
      </c>
      <c r="F54">
        <v>1.1593541466178425E-3</v>
      </c>
    </row>
    <row r="55" spans="1:6" x14ac:dyDescent="0.3">
      <c r="A55" s="3" t="s">
        <v>380</v>
      </c>
      <c r="B55">
        <v>0.27324953416486325</v>
      </c>
      <c r="C55">
        <v>0.28812660632475912</v>
      </c>
      <c r="D55">
        <v>0.46400128383106698</v>
      </c>
      <c r="E55">
        <v>0.45105333156680044</v>
      </c>
      <c r="F55">
        <v>1.4764307558874898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2FFA-A55B-4956-AE2D-8668F4B66F77}">
  <dimension ref="A3:F54"/>
  <sheetViews>
    <sheetView workbookViewId="0">
      <selection activeCell="F23" sqref="F23"/>
    </sheetView>
  </sheetViews>
  <sheetFormatPr defaultRowHeight="14.4" x14ac:dyDescent="0.3"/>
  <cols>
    <col min="1" max="1" width="13" bestFit="1" customWidth="1"/>
    <col min="2" max="2" width="19.33203125" bestFit="1" customWidth="1"/>
    <col min="6" max="6" width="71.21875" customWidth="1"/>
  </cols>
  <sheetData>
    <row r="3" spans="1:2" x14ac:dyDescent="0.3">
      <c r="A3" s="2" t="s">
        <v>379</v>
      </c>
      <c r="B3" t="s">
        <v>392</v>
      </c>
    </row>
    <row r="4" spans="1:2" x14ac:dyDescent="0.3">
      <c r="A4" s="3">
        <v>45446</v>
      </c>
      <c r="B4">
        <v>3554</v>
      </c>
    </row>
    <row r="5" spans="1:2" x14ac:dyDescent="0.3">
      <c r="A5" s="3">
        <v>45453</v>
      </c>
      <c r="B5">
        <v>2980</v>
      </c>
    </row>
    <row r="6" spans="1:2" x14ac:dyDescent="0.3">
      <c r="A6" s="3">
        <v>45460</v>
      </c>
      <c r="B6">
        <v>3907</v>
      </c>
    </row>
    <row r="7" spans="1:2" x14ac:dyDescent="0.3">
      <c r="A7" s="3">
        <v>45467</v>
      </c>
      <c r="B7">
        <v>3011</v>
      </c>
    </row>
    <row r="8" spans="1:2" x14ac:dyDescent="0.3">
      <c r="A8" s="3">
        <v>45474</v>
      </c>
      <c r="B8">
        <v>1293</v>
      </c>
    </row>
    <row r="9" spans="1:2" x14ac:dyDescent="0.3">
      <c r="A9" s="3">
        <v>45481</v>
      </c>
      <c r="B9">
        <v>3042</v>
      </c>
    </row>
    <row r="10" spans="1:2" x14ac:dyDescent="0.3">
      <c r="A10" s="3">
        <v>45488</v>
      </c>
      <c r="B10">
        <v>2270</v>
      </c>
    </row>
    <row r="11" spans="1:2" x14ac:dyDescent="0.3">
      <c r="A11" s="3">
        <v>45495</v>
      </c>
      <c r="B11">
        <v>2753</v>
      </c>
    </row>
    <row r="12" spans="1:2" x14ac:dyDescent="0.3">
      <c r="A12" s="3">
        <v>45502</v>
      </c>
      <c r="B12">
        <v>2193</v>
      </c>
    </row>
    <row r="13" spans="1:2" x14ac:dyDescent="0.3">
      <c r="A13" s="3">
        <v>45509</v>
      </c>
      <c r="B13">
        <v>802</v>
      </c>
    </row>
    <row r="14" spans="1:2" x14ac:dyDescent="0.3">
      <c r="A14" s="3">
        <v>45516</v>
      </c>
      <c r="B14">
        <v>3728</v>
      </c>
    </row>
    <row r="15" spans="1:2" x14ac:dyDescent="0.3">
      <c r="A15" s="3">
        <v>45523</v>
      </c>
      <c r="B15">
        <v>2989</v>
      </c>
    </row>
    <row r="16" spans="1:2" x14ac:dyDescent="0.3">
      <c r="A16" s="3">
        <v>45530</v>
      </c>
      <c r="B16">
        <v>2903</v>
      </c>
    </row>
    <row r="17" spans="1:6" x14ac:dyDescent="0.3">
      <c r="A17" s="3">
        <v>45537</v>
      </c>
      <c r="B17">
        <v>2822</v>
      </c>
    </row>
    <row r="18" spans="1:6" x14ac:dyDescent="0.3">
      <c r="A18" s="3">
        <v>45544</v>
      </c>
      <c r="B18">
        <v>4360</v>
      </c>
    </row>
    <row r="19" spans="1:6" x14ac:dyDescent="0.3">
      <c r="A19" s="3">
        <v>45551</v>
      </c>
      <c r="B19">
        <v>1568</v>
      </c>
    </row>
    <row r="20" spans="1:6" x14ac:dyDescent="0.3">
      <c r="A20" s="3">
        <v>45558</v>
      </c>
      <c r="B20">
        <v>3333</v>
      </c>
    </row>
    <row r="21" spans="1:6" x14ac:dyDescent="0.3">
      <c r="A21" s="3">
        <v>45565</v>
      </c>
      <c r="B21">
        <v>3151</v>
      </c>
    </row>
    <row r="22" spans="1:6" x14ac:dyDescent="0.3">
      <c r="A22" s="3">
        <v>45572</v>
      </c>
      <c r="B22">
        <v>3759</v>
      </c>
    </row>
    <row r="23" spans="1:6" x14ac:dyDescent="0.3">
      <c r="A23" s="3">
        <v>45579</v>
      </c>
      <c r="B23">
        <v>1856</v>
      </c>
      <c r="F23" s="6" t="s">
        <v>393</v>
      </c>
    </row>
    <row r="24" spans="1:6" x14ac:dyDescent="0.3">
      <c r="A24" s="3">
        <v>45586</v>
      </c>
      <c r="B24">
        <v>2821</v>
      </c>
    </row>
    <row r="25" spans="1:6" x14ac:dyDescent="0.3">
      <c r="A25" s="3">
        <v>45593</v>
      </c>
      <c r="B25">
        <v>2656</v>
      </c>
    </row>
    <row r="26" spans="1:6" x14ac:dyDescent="0.3">
      <c r="A26" s="3">
        <v>45600</v>
      </c>
      <c r="B26">
        <v>4584</v>
      </c>
    </row>
    <row r="27" spans="1:6" x14ac:dyDescent="0.3">
      <c r="A27" s="3">
        <v>45607</v>
      </c>
      <c r="B27">
        <v>2295</v>
      </c>
    </row>
    <row r="28" spans="1:6" x14ac:dyDescent="0.3">
      <c r="A28" s="3">
        <v>45614</v>
      </c>
      <c r="B28">
        <v>528</v>
      </c>
    </row>
    <row r="29" spans="1:6" x14ac:dyDescent="0.3">
      <c r="A29" s="3">
        <v>45621</v>
      </c>
      <c r="B29">
        <v>4008</v>
      </c>
    </row>
    <row r="30" spans="1:6" x14ac:dyDescent="0.3">
      <c r="A30" s="3">
        <v>45628</v>
      </c>
      <c r="B30">
        <v>4795</v>
      </c>
    </row>
    <row r="31" spans="1:6" x14ac:dyDescent="0.3">
      <c r="A31" s="3">
        <v>45635</v>
      </c>
      <c r="B31">
        <v>4792</v>
      </c>
    </row>
    <row r="32" spans="1:6" x14ac:dyDescent="0.3">
      <c r="A32" s="3">
        <v>45642</v>
      </c>
      <c r="B32">
        <v>5044</v>
      </c>
    </row>
    <row r="33" spans="1:2" x14ac:dyDescent="0.3">
      <c r="A33" s="3">
        <v>45649</v>
      </c>
      <c r="B33">
        <v>3914</v>
      </c>
    </row>
    <row r="34" spans="1:2" x14ac:dyDescent="0.3">
      <c r="A34" s="3">
        <v>45656</v>
      </c>
      <c r="B34">
        <v>6530</v>
      </c>
    </row>
    <row r="35" spans="1:2" x14ac:dyDescent="0.3">
      <c r="A35" s="3">
        <v>45663</v>
      </c>
      <c r="B35">
        <v>3557</v>
      </c>
    </row>
    <row r="36" spans="1:2" x14ac:dyDescent="0.3">
      <c r="A36" s="3">
        <v>45670</v>
      </c>
      <c r="B36">
        <v>2777</v>
      </c>
    </row>
    <row r="37" spans="1:2" x14ac:dyDescent="0.3">
      <c r="A37" s="3">
        <v>45677</v>
      </c>
      <c r="B37">
        <v>3614</v>
      </c>
    </row>
    <row r="38" spans="1:2" x14ac:dyDescent="0.3">
      <c r="A38" s="3">
        <v>45684</v>
      </c>
      <c r="B38">
        <v>3383</v>
      </c>
    </row>
    <row r="39" spans="1:2" x14ac:dyDescent="0.3">
      <c r="A39" s="3">
        <v>45691</v>
      </c>
      <c r="B39">
        <v>2194</v>
      </c>
    </row>
    <row r="40" spans="1:2" x14ac:dyDescent="0.3">
      <c r="A40" s="3">
        <v>45698</v>
      </c>
      <c r="B40">
        <v>5281</v>
      </c>
    </row>
    <row r="41" spans="1:2" x14ac:dyDescent="0.3">
      <c r="A41" s="3">
        <v>45705</v>
      </c>
      <c r="B41">
        <v>3693</v>
      </c>
    </row>
    <row r="42" spans="1:2" x14ac:dyDescent="0.3">
      <c r="A42" s="3">
        <v>45712</v>
      </c>
      <c r="B42">
        <v>4806</v>
      </c>
    </row>
    <row r="43" spans="1:2" x14ac:dyDescent="0.3">
      <c r="A43" s="3">
        <v>45719</v>
      </c>
      <c r="B43">
        <v>2410</v>
      </c>
    </row>
    <row r="44" spans="1:2" x14ac:dyDescent="0.3">
      <c r="A44" s="3">
        <v>45726</v>
      </c>
      <c r="B44">
        <v>3712</v>
      </c>
    </row>
    <row r="45" spans="1:2" x14ac:dyDescent="0.3">
      <c r="A45" s="3">
        <v>45733</v>
      </c>
      <c r="B45">
        <v>4042</v>
      </c>
    </row>
    <row r="46" spans="1:2" x14ac:dyDescent="0.3">
      <c r="A46" s="3">
        <v>45740</v>
      </c>
      <c r="B46">
        <v>1616</v>
      </c>
    </row>
    <row r="47" spans="1:2" x14ac:dyDescent="0.3">
      <c r="A47" s="3">
        <v>45747</v>
      </c>
      <c r="B47">
        <v>4298</v>
      </c>
    </row>
    <row r="48" spans="1:2" x14ac:dyDescent="0.3">
      <c r="A48" s="3">
        <v>45754</v>
      </c>
      <c r="B48">
        <v>2412</v>
      </c>
    </row>
    <row r="49" spans="1:2" x14ac:dyDescent="0.3">
      <c r="A49" s="3">
        <v>45761</v>
      </c>
      <c r="B49">
        <v>-137</v>
      </c>
    </row>
    <row r="50" spans="1:2" x14ac:dyDescent="0.3">
      <c r="A50" s="3">
        <v>45768</v>
      </c>
      <c r="B50">
        <v>4040</v>
      </c>
    </row>
    <row r="51" spans="1:2" x14ac:dyDescent="0.3">
      <c r="A51" s="3">
        <v>45775</v>
      </c>
      <c r="B51">
        <v>3577</v>
      </c>
    </row>
    <row r="52" spans="1:2" x14ac:dyDescent="0.3">
      <c r="A52" s="3">
        <v>45782</v>
      </c>
      <c r="B52">
        <v>4594</v>
      </c>
    </row>
    <row r="53" spans="1:2" x14ac:dyDescent="0.3">
      <c r="A53" s="3">
        <v>45789</v>
      </c>
      <c r="B53">
        <v>1995</v>
      </c>
    </row>
    <row r="54" spans="1:2" x14ac:dyDescent="0.3">
      <c r="A54" s="3" t="s">
        <v>380</v>
      </c>
      <c r="B54">
        <v>160105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4FC1-089C-41A0-AD02-9CDE66FE87DA}">
  <dimension ref="A1:J201"/>
  <sheetViews>
    <sheetView workbookViewId="0">
      <selection activeCell="H1" sqref="H1:H1048576"/>
    </sheetView>
  </sheetViews>
  <sheetFormatPr defaultRowHeight="14.4" x14ac:dyDescent="0.3"/>
  <cols>
    <col min="1" max="1" width="18.33203125" bestFit="1" customWidth="1"/>
    <col min="2" max="2" width="10.6640625" bestFit="1" customWidth="1"/>
    <col min="3" max="3" width="16.5546875" bestFit="1" customWidth="1"/>
    <col min="4" max="4" width="11.88671875" bestFit="1" customWidth="1"/>
    <col min="5" max="5" width="16.88671875" bestFit="1" customWidth="1"/>
    <col min="6" max="6" width="19.109375" bestFit="1" customWidth="1"/>
    <col min="7" max="7" width="11.77734375" bestFit="1" customWidth="1"/>
    <col min="8" max="8" width="10.6640625" hidden="1" customWidth="1"/>
  </cols>
  <sheetData>
    <row r="1" spans="1:10" x14ac:dyDescent="0.3">
      <c r="A1" t="s">
        <v>356</v>
      </c>
      <c r="B1" t="s">
        <v>1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385</v>
      </c>
      <c r="I1" t="s">
        <v>386</v>
      </c>
      <c r="J1" t="s">
        <v>391</v>
      </c>
    </row>
    <row r="2" spans="1:10" x14ac:dyDescent="0.3">
      <c r="A2" s="1">
        <v>45446</v>
      </c>
      <c r="B2" t="s">
        <v>15</v>
      </c>
      <c r="C2">
        <v>1135</v>
      </c>
      <c r="D2">
        <v>88</v>
      </c>
      <c r="E2">
        <v>344084</v>
      </c>
      <c r="F2">
        <v>8.06</v>
      </c>
      <c r="G2">
        <v>5904</v>
      </c>
      <c r="H2">
        <f>Engagement_Summary5[[#This Row],[New_Followers]]-Engagement_Summary5[[#This Row],[Unfollows]]</f>
        <v>1047</v>
      </c>
      <c r="I2">
        <f>Engagement_Summary5[[#This Row],[net followers]]/Engagement_Summary5[[#This Row],[Total_Followers]]</f>
        <v>3.0428616268120576E-3</v>
      </c>
      <c r="J2" t="e">
        <v>#N/A</v>
      </c>
    </row>
    <row r="3" spans="1:10" x14ac:dyDescent="0.3">
      <c r="A3" s="1">
        <v>45446</v>
      </c>
      <c r="B3" t="s">
        <v>48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>Engagement_Summary5[[#This Row],[New_Followers]]-Engagement_Summary5[[#This Row],[Unfollows]]</f>
        <v>1002</v>
      </c>
      <c r="I3">
        <f>Engagement_Summary5[[#This Row],[net followers]]/Engagement_Summary5[[#This Row],[Total_Followers]]</f>
        <v>2.3491348994232664E-2</v>
      </c>
      <c r="J3" t="e">
        <v>#N/A</v>
      </c>
    </row>
    <row r="4" spans="1:10" x14ac:dyDescent="0.3">
      <c r="A4" s="1">
        <v>45446</v>
      </c>
      <c r="B4" t="s">
        <v>26</v>
      </c>
      <c r="C4">
        <v>584</v>
      </c>
      <c r="D4">
        <v>169</v>
      </c>
      <c r="E4">
        <v>146834</v>
      </c>
      <c r="F4">
        <v>8.31</v>
      </c>
      <c r="G4">
        <v>26752</v>
      </c>
      <c r="H4">
        <f>Engagement_Summary5[[#This Row],[New_Followers]]-Engagement_Summary5[[#This Row],[Unfollows]]</f>
        <v>415</v>
      </c>
      <c r="I4">
        <f>Engagement_Summary5[[#This Row],[net followers]]/Engagement_Summary5[[#This Row],[Total_Followers]]</f>
        <v>2.826320879360366E-3</v>
      </c>
      <c r="J4">
        <f t="shared" ref="J4:J67" si="0">AVERAGE(I2:I4)</f>
        <v>9.786843833468362E-3</v>
      </c>
    </row>
    <row r="5" spans="1:10" x14ac:dyDescent="0.3">
      <c r="A5" s="1">
        <v>45446</v>
      </c>
      <c r="B5" t="s">
        <v>42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>
        <f>Engagement_Summary5[[#This Row],[New_Followers]]-Engagement_Summary5[[#This Row],[Unfollows]]</f>
        <v>1090</v>
      </c>
      <c r="I5">
        <f>Engagement_Summary5[[#This Row],[net followers]]/Engagement_Summary5[[#This Row],[Total_Followers]]</f>
        <v>2.7557542170624167E-3</v>
      </c>
      <c r="J5">
        <f t="shared" si="0"/>
        <v>9.6911413635518157E-3</v>
      </c>
    </row>
    <row r="6" spans="1:10" x14ac:dyDescent="0.3">
      <c r="A6" s="1">
        <v>45453</v>
      </c>
      <c r="B6" t="s">
        <v>15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>
        <f>Engagement_Summary5[[#This Row],[New_Followers]]-Engagement_Summary5[[#This Row],[Unfollows]]</f>
        <v>517</v>
      </c>
      <c r="I6">
        <f>Engagement_Summary5[[#This Row],[net followers]]/Engagement_Summary5[[#This Row],[Total_Followers]]</f>
        <v>1.0517322049758936E-2</v>
      </c>
      <c r="J6">
        <f t="shared" si="0"/>
        <v>5.3664657153939055E-3</v>
      </c>
    </row>
    <row r="7" spans="1:10" x14ac:dyDescent="0.3">
      <c r="A7" s="1">
        <v>45453</v>
      </c>
      <c r="B7" t="s">
        <v>48</v>
      </c>
      <c r="C7">
        <v>1697</v>
      </c>
      <c r="D7">
        <v>414</v>
      </c>
      <c r="E7">
        <v>316555</v>
      </c>
      <c r="F7">
        <v>2.37</v>
      </c>
      <c r="G7">
        <v>7924</v>
      </c>
      <c r="H7">
        <f>Engagement_Summary5[[#This Row],[New_Followers]]-Engagement_Summary5[[#This Row],[Unfollows]]</f>
        <v>1283</v>
      </c>
      <c r="I7">
        <f>Engagement_Summary5[[#This Row],[net followers]]/Engagement_Summary5[[#This Row],[Total_Followers]]</f>
        <v>4.0530081660374974E-3</v>
      </c>
      <c r="J7">
        <f t="shared" si="0"/>
        <v>5.7753614776196163E-3</v>
      </c>
    </row>
    <row r="8" spans="1:10" x14ac:dyDescent="0.3">
      <c r="A8" s="1">
        <v>45453</v>
      </c>
      <c r="B8" t="s">
        <v>26</v>
      </c>
      <c r="C8">
        <v>436</v>
      </c>
      <c r="D8">
        <v>250</v>
      </c>
      <c r="E8">
        <v>254347</v>
      </c>
      <c r="F8">
        <v>4.01</v>
      </c>
      <c r="G8">
        <v>8912</v>
      </c>
      <c r="H8">
        <f>Engagement_Summary5[[#This Row],[New_Followers]]-Engagement_Summary5[[#This Row],[Unfollows]]</f>
        <v>186</v>
      </c>
      <c r="I8">
        <f>Engagement_Summary5[[#This Row],[net followers]]/Engagement_Summary5[[#This Row],[Total_Followers]]</f>
        <v>7.3128442639386348E-4</v>
      </c>
      <c r="J8">
        <f t="shared" si="0"/>
        <v>5.1005382140634319E-3</v>
      </c>
    </row>
    <row r="9" spans="1:10" x14ac:dyDescent="0.3">
      <c r="A9" s="1">
        <v>45453</v>
      </c>
      <c r="B9" t="s">
        <v>42</v>
      </c>
      <c r="C9">
        <v>1197</v>
      </c>
      <c r="D9">
        <v>203</v>
      </c>
      <c r="E9">
        <v>413878</v>
      </c>
      <c r="F9">
        <v>3.16</v>
      </c>
      <c r="G9">
        <v>21205</v>
      </c>
      <c r="H9">
        <f>Engagement_Summary5[[#This Row],[New_Followers]]-Engagement_Summary5[[#This Row],[Unfollows]]</f>
        <v>994</v>
      </c>
      <c r="I9">
        <f>Engagement_Summary5[[#This Row],[net followers]]/Engagement_Summary5[[#This Row],[Total_Followers]]</f>
        <v>2.4016739232334168E-3</v>
      </c>
      <c r="J9">
        <f t="shared" si="0"/>
        <v>2.3953221718882593E-3</v>
      </c>
    </row>
    <row r="10" spans="1:10" x14ac:dyDescent="0.3">
      <c r="A10" s="1">
        <v>45460</v>
      </c>
      <c r="B10" t="s">
        <v>15</v>
      </c>
      <c r="C10">
        <v>1048</v>
      </c>
      <c r="D10">
        <v>155</v>
      </c>
      <c r="E10">
        <v>456946</v>
      </c>
      <c r="F10">
        <v>2.46</v>
      </c>
      <c r="G10">
        <v>11329</v>
      </c>
      <c r="H10">
        <f>Engagement_Summary5[[#This Row],[New_Followers]]-Engagement_Summary5[[#This Row],[Unfollows]]</f>
        <v>893</v>
      </c>
      <c r="I10">
        <f>Engagement_Summary5[[#This Row],[net followers]]/Engagement_Summary5[[#This Row],[Total_Followers]]</f>
        <v>1.9542790614208243E-3</v>
      </c>
      <c r="J10">
        <f t="shared" si="0"/>
        <v>1.6957458036827016E-3</v>
      </c>
    </row>
    <row r="11" spans="1:10" x14ac:dyDescent="0.3">
      <c r="A11" s="1">
        <v>45460</v>
      </c>
      <c r="B11" t="s">
        <v>48</v>
      </c>
      <c r="C11">
        <v>1753</v>
      </c>
      <c r="D11">
        <v>371</v>
      </c>
      <c r="E11">
        <v>169496</v>
      </c>
      <c r="F11">
        <v>8.11</v>
      </c>
      <c r="G11">
        <v>46670</v>
      </c>
      <c r="H11">
        <f>Engagement_Summary5[[#This Row],[New_Followers]]-Engagement_Summary5[[#This Row],[Unfollows]]</f>
        <v>1382</v>
      </c>
      <c r="I11">
        <f>Engagement_Summary5[[#This Row],[net followers]]/Engagement_Summary5[[#This Row],[Total_Followers]]</f>
        <v>8.1535847453627231E-3</v>
      </c>
      <c r="J11">
        <f t="shared" si="0"/>
        <v>4.1698459100056552E-3</v>
      </c>
    </row>
    <row r="12" spans="1:10" x14ac:dyDescent="0.3">
      <c r="A12" s="1">
        <v>45460</v>
      </c>
      <c r="B12" t="s">
        <v>26</v>
      </c>
      <c r="C12">
        <v>1335</v>
      </c>
      <c r="D12">
        <v>40</v>
      </c>
      <c r="E12">
        <v>122732</v>
      </c>
      <c r="F12">
        <v>8.19</v>
      </c>
      <c r="G12">
        <v>22482</v>
      </c>
      <c r="H12">
        <f>Engagement_Summary5[[#This Row],[New_Followers]]-Engagement_Summary5[[#This Row],[Unfollows]]</f>
        <v>1295</v>
      </c>
      <c r="I12">
        <f>Engagement_Summary5[[#This Row],[net followers]]/Engagement_Summary5[[#This Row],[Total_Followers]]</f>
        <v>1.0551445425805821E-2</v>
      </c>
      <c r="J12">
        <f t="shared" si="0"/>
        <v>6.8864364108631232E-3</v>
      </c>
    </row>
    <row r="13" spans="1:10" x14ac:dyDescent="0.3">
      <c r="A13" s="1">
        <v>45460</v>
      </c>
      <c r="B13" t="s">
        <v>42</v>
      </c>
      <c r="C13">
        <v>403</v>
      </c>
      <c r="D13">
        <v>66</v>
      </c>
      <c r="E13">
        <v>382851</v>
      </c>
      <c r="F13">
        <v>3.49</v>
      </c>
      <c r="G13">
        <v>24313</v>
      </c>
      <c r="H13">
        <f>Engagement_Summary5[[#This Row],[New_Followers]]-Engagement_Summary5[[#This Row],[Unfollows]]</f>
        <v>337</v>
      </c>
      <c r="I13">
        <f>Engagement_Summary5[[#This Row],[net followers]]/Engagement_Summary5[[#This Row],[Total_Followers]]</f>
        <v>8.80238003818718E-4</v>
      </c>
      <c r="J13">
        <f t="shared" si="0"/>
        <v>6.5284227249957534E-3</v>
      </c>
    </row>
    <row r="14" spans="1:10" x14ac:dyDescent="0.3">
      <c r="A14" s="1">
        <v>45467</v>
      </c>
      <c r="B14" t="s">
        <v>15</v>
      </c>
      <c r="C14">
        <v>911</v>
      </c>
      <c r="D14">
        <v>282</v>
      </c>
      <c r="E14">
        <v>35664</v>
      </c>
      <c r="F14">
        <v>6.92</v>
      </c>
      <c r="G14">
        <v>18050</v>
      </c>
      <c r="H14">
        <f>Engagement_Summary5[[#This Row],[New_Followers]]-Engagement_Summary5[[#This Row],[Unfollows]]</f>
        <v>629</v>
      </c>
      <c r="I14">
        <f>Engagement_Summary5[[#This Row],[net followers]]/Engagement_Summary5[[#This Row],[Total_Followers]]</f>
        <v>1.7636832660385824E-2</v>
      </c>
      <c r="J14">
        <f t="shared" si="0"/>
        <v>9.689505363336787E-3</v>
      </c>
    </row>
    <row r="15" spans="1:10" x14ac:dyDescent="0.3">
      <c r="A15" s="1">
        <v>45467</v>
      </c>
      <c r="B15" t="s">
        <v>48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>
        <f>Engagement_Summary5[[#This Row],[New_Followers]]-Engagement_Summary5[[#This Row],[Unfollows]]</f>
        <v>1670</v>
      </c>
      <c r="I15">
        <f>Engagement_Summary5[[#This Row],[net followers]]/Engagement_Summary5[[#This Row],[Total_Followers]]</f>
        <v>6.3510173036698994E-2</v>
      </c>
      <c r="J15">
        <f t="shared" si="0"/>
        <v>2.7342414566967843E-2</v>
      </c>
    </row>
    <row r="16" spans="1:10" x14ac:dyDescent="0.3">
      <c r="A16" s="1">
        <v>45467</v>
      </c>
      <c r="B16" t="s">
        <v>26</v>
      </c>
      <c r="C16">
        <v>1238</v>
      </c>
      <c r="D16">
        <v>403</v>
      </c>
      <c r="E16">
        <v>298421</v>
      </c>
      <c r="F16">
        <v>3.5</v>
      </c>
      <c r="G16">
        <v>31280</v>
      </c>
      <c r="H16">
        <f>Engagement_Summary5[[#This Row],[New_Followers]]-Engagement_Summary5[[#This Row],[Unfollows]]</f>
        <v>835</v>
      </c>
      <c r="I16">
        <f>Engagement_Summary5[[#This Row],[net followers]]/Engagement_Summary5[[#This Row],[Total_Followers]]</f>
        <v>2.798060458211721E-3</v>
      </c>
      <c r="J16">
        <f t="shared" si="0"/>
        <v>2.7981688718432179E-2</v>
      </c>
    </row>
    <row r="17" spans="1:10" x14ac:dyDescent="0.3">
      <c r="A17" s="1">
        <v>45467</v>
      </c>
      <c r="B17" t="s">
        <v>42</v>
      </c>
      <c r="C17">
        <v>308</v>
      </c>
      <c r="D17">
        <v>431</v>
      </c>
      <c r="E17">
        <v>426184</v>
      </c>
      <c r="F17">
        <v>2.62</v>
      </c>
      <c r="G17">
        <v>1783</v>
      </c>
      <c r="H17">
        <f>Engagement_Summary5[[#This Row],[New_Followers]]-Engagement_Summary5[[#This Row],[Unfollows]]</f>
        <v>-123</v>
      </c>
      <c r="I17">
        <f>Engagement_Summary5[[#This Row],[net followers]]/Engagement_Summary5[[#This Row],[Total_Followers]]</f>
        <v>-2.8860773750305035E-4</v>
      </c>
      <c r="J17">
        <f t="shared" si="0"/>
        <v>2.2006541919135886E-2</v>
      </c>
    </row>
    <row r="18" spans="1:10" x14ac:dyDescent="0.3">
      <c r="A18" s="1">
        <v>45474</v>
      </c>
      <c r="B18" t="s">
        <v>15</v>
      </c>
      <c r="C18">
        <v>226</v>
      </c>
      <c r="D18">
        <v>445</v>
      </c>
      <c r="E18">
        <v>419447</v>
      </c>
      <c r="F18">
        <v>9.36</v>
      </c>
      <c r="G18">
        <v>9566</v>
      </c>
      <c r="H18">
        <f>Engagement_Summary5[[#This Row],[New_Followers]]-Engagement_Summary5[[#This Row],[Unfollows]]</f>
        <v>-219</v>
      </c>
      <c r="I18">
        <f>Engagement_Summary5[[#This Row],[net followers]]/Engagement_Summary5[[#This Row],[Total_Followers]]</f>
        <v>-5.2211602419375983E-4</v>
      </c>
      <c r="J18">
        <f t="shared" si="0"/>
        <v>6.6244556550497022E-4</v>
      </c>
    </row>
    <row r="19" spans="1:10" x14ac:dyDescent="0.3">
      <c r="A19" s="1">
        <v>45474</v>
      </c>
      <c r="B19" t="s">
        <v>48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>
        <f>Engagement_Summary5[[#This Row],[New_Followers]]-Engagement_Summary5[[#This Row],[Unfollows]]</f>
        <v>64</v>
      </c>
      <c r="I19">
        <f>Engagement_Summary5[[#This Row],[net followers]]/Engagement_Summary5[[#This Row],[Total_Followers]]</f>
        <v>2.9088264703208797E-4</v>
      </c>
      <c r="J19">
        <f t="shared" si="0"/>
        <v>-1.7328037155490741E-4</v>
      </c>
    </row>
    <row r="20" spans="1:10" x14ac:dyDescent="0.3">
      <c r="A20" s="1">
        <v>45474</v>
      </c>
      <c r="B20" t="s">
        <v>26</v>
      </c>
      <c r="C20">
        <v>1420</v>
      </c>
      <c r="D20">
        <v>63</v>
      </c>
      <c r="E20">
        <v>315305</v>
      </c>
      <c r="F20">
        <v>6.19</v>
      </c>
      <c r="G20">
        <v>5914</v>
      </c>
      <c r="H20">
        <f>Engagement_Summary5[[#This Row],[New_Followers]]-Engagement_Summary5[[#This Row],[Unfollows]]</f>
        <v>1357</v>
      </c>
      <c r="I20">
        <f>Engagement_Summary5[[#This Row],[net followers]]/Engagement_Summary5[[#This Row],[Total_Followers]]</f>
        <v>4.3037693661692649E-3</v>
      </c>
      <c r="J20">
        <f t="shared" si="0"/>
        <v>1.3575119963358643E-3</v>
      </c>
    </row>
    <row r="21" spans="1:10" x14ac:dyDescent="0.3">
      <c r="A21" s="1">
        <v>45474</v>
      </c>
      <c r="B21" t="s">
        <v>42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>
        <f>Engagement_Summary5[[#This Row],[New_Followers]]-Engagement_Summary5[[#This Row],[Unfollows]]</f>
        <v>91</v>
      </c>
      <c r="I21">
        <f>Engagement_Summary5[[#This Row],[net followers]]/Engagement_Summary5[[#This Row],[Total_Followers]]</f>
        <v>8.0050669434719116E-4</v>
      </c>
      <c r="J21">
        <f t="shared" si="0"/>
        <v>1.7983862358495145E-3</v>
      </c>
    </row>
    <row r="22" spans="1:10" x14ac:dyDescent="0.3">
      <c r="A22" s="1">
        <v>45481</v>
      </c>
      <c r="B22" t="s">
        <v>15</v>
      </c>
      <c r="C22">
        <v>1757</v>
      </c>
      <c r="D22">
        <v>85</v>
      </c>
      <c r="E22">
        <v>58223</v>
      </c>
      <c r="F22">
        <v>8.74</v>
      </c>
      <c r="G22">
        <v>22728</v>
      </c>
      <c r="H22">
        <f>Engagement_Summary5[[#This Row],[New_Followers]]-Engagement_Summary5[[#This Row],[Unfollows]]</f>
        <v>1672</v>
      </c>
      <c r="I22">
        <f>Engagement_Summary5[[#This Row],[net followers]]/Engagement_Summary5[[#This Row],[Total_Followers]]</f>
        <v>2.8717173625543171E-2</v>
      </c>
      <c r="J22">
        <f t="shared" si="0"/>
        <v>1.1273816562019876E-2</v>
      </c>
    </row>
    <row r="23" spans="1:10" x14ac:dyDescent="0.3">
      <c r="A23" s="1">
        <v>45481</v>
      </c>
      <c r="B23" t="s">
        <v>48</v>
      </c>
      <c r="C23">
        <v>350</v>
      </c>
      <c r="D23">
        <v>41</v>
      </c>
      <c r="E23">
        <v>251694</v>
      </c>
      <c r="F23">
        <v>1.91</v>
      </c>
      <c r="G23">
        <v>38610</v>
      </c>
      <c r="H23">
        <f>Engagement_Summary5[[#This Row],[New_Followers]]-Engagement_Summary5[[#This Row],[Unfollows]]</f>
        <v>309</v>
      </c>
      <c r="I23">
        <f>Engagement_Summary5[[#This Row],[net followers]]/Engagement_Summary5[[#This Row],[Total_Followers]]</f>
        <v>1.2276812319721568E-3</v>
      </c>
      <c r="J23">
        <f t="shared" si="0"/>
        <v>1.0248453850620841E-2</v>
      </c>
    </row>
    <row r="24" spans="1:10" x14ac:dyDescent="0.3">
      <c r="A24" s="1">
        <v>45481</v>
      </c>
      <c r="B24" t="s">
        <v>26</v>
      </c>
      <c r="C24">
        <v>987</v>
      </c>
      <c r="D24">
        <v>440</v>
      </c>
      <c r="E24">
        <v>389810</v>
      </c>
      <c r="F24">
        <v>4.66</v>
      </c>
      <c r="G24">
        <v>2932</v>
      </c>
      <c r="H24">
        <f>Engagement_Summary5[[#This Row],[New_Followers]]-Engagement_Summary5[[#This Row],[Unfollows]]</f>
        <v>547</v>
      </c>
      <c r="I24">
        <f>Engagement_Summary5[[#This Row],[net followers]]/Engagement_Summary5[[#This Row],[Total_Followers]]</f>
        <v>1.40324773607655E-3</v>
      </c>
      <c r="J24">
        <f t="shared" si="0"/>
        <v>1.0449367531197294E-2</v>
      </c>
    </row>
    <row r="25" spans="1:10" x14ac:dyDescent="0.3">
      <c r="A25" s="1">
        <v>45481</v>
      </c>
      <c r="B25" t="s">
        <v>42</v>
      </c>
      <c r="C25">
        <v>883</v>
      </c>
      <c r="D25">
        <v>369</v>
      </c>
      <c r="E25">
        <v>233694</v>
      </c>
      <c r="F25">
        <v>2.88</v>
      </c>
      <c r="G25">
        <v>15071</v>
      </c>
      <c r="H25">
        <f>Engagement_Summary5[[#This Row],[New_Followers]]-Engagement_Summary5[[#This Row],[Unfollows]]</f>
        <v>514</v>
      </c>
      <c r="I25">
        <f>Engagement_Summary5[[#This Row],[net followers]]/Engagement_Summary5[[#This Row],[Total_Followers]]</f>
        <v>2.1994574101175039E-3</v>
      </c>
      <c r="J25">
        <f t="shared" si="0"/>
        <v>1.6101287927220702E-3</v>
      </c>
    </row>
    <row r="26" spans="1:10" x14ac:dyDescent="0.3">
      <c r="A26" s="1">
        <v>45488</v>
      </c>
      <c r="B26" t="s">
        <v>15</v>
      </c>
      <c r="C26">
        <v>1960</v>
      </c>
      <c r="D26">
        <v>115</v>
      </c>
      <c r="E26">
        <v>154169</v>
      </c>
      <c r="F26">
        <v>3.74</v>
      </c>
      <c r="G26">
        <v>10740</v>
      </c>
      <c r="H26">
        <f>Engagement_Summary5[[#This Row],[New_Followers]]-Engagement_Summary5[[#This Row],[Unfollows]]</f>
        <v>1845</v>
      </c>
      <c r="I26">
        <f>Engagement_Summary5[[#This Row],[net followers]]/Engagement_Summary5[[#This Row],[Total_Followers]]</f>
        <v>1.1967386439556591E-2</v>
      </c>
      <c r="J26">
        <f t="shared" si="0"/>
        <v>5.1900305285835476E-3</v>
      </c>
    </row>
    <row r="27" spans="1:10" x14ac:dyDescent="0.3">
      <c r="A27" s="1">
        <v>45488</v>
      </c>
      <c r="B27" t="s">
        <v>48</v>
      </c>
      <c r="C27">
        <v>170</v>
      </c>
      <c r="D27">
        <v>334</v>
      </c>
      <c r="E27">
        <v>334626</v>
      </c>
      <c r="F27">
        <v>6.44</v>
      </c>
      <c r="G27">
        <v>43420</v>
      </c>
      <c r="H27">
        <f>Engagement_Summary5[[#This Row],[New_Followers]]-Engagement_Summary5[[#This Row],[Unfollows]]</f>
        <v>-164</v>
      </c>
      <c r="I27">
        <f>Engagement_Summary5[[#This Row],[net followers]]/Engagement_Summary5[[#This Row],[Total_Followers]]</f>
        <v>-4.9009939454794306E-4</v>
      </c>
      <c r="J27">
        <f t="shared" si="0"/>
        <v>4.5589148183753838E-3</v>
      </c>
    </row>
    <row r="28" spans="1:10" x14ac:dyDescent="0.3">
      <c r="A28" s="1">
        <v>45488</v>
      </c>
      <c r="B28" t="s">
        <v>26</v>
      </c>
      <c r="C28">
        <v>704</v>
      </c>
      <c r="D28">
        <v>275</v>
      </c>
      <c r="E28">
        <v>226002</v>
      </c>
      <c r="F28">
        <v>8.56</v>
      </c>
      <c r="G28">
        <v>32393</v>
      </c>
      <c r="H28">
        <f>Engagement_Summary5[[#This Row],[New_Followers]]-Engagement_Summary5[[#This Row],[Unfollows]]</f>
        <v>429</v>
      </c>
      <c r="I28">
        <f>Engagement_Summary5[[#This Row],[net followers]]/Engagement_Summary5[[#This Row],[Total_Followers]]</f>
        <v>1.8982132901478749E-3</v>
      </c>
      <c r="J28">
        <f t="shared" si="0"/>
        <v>4.4585001117188406E-3</v>
      </c>
    </row>
    <row r="29" spans="1:10" x14ac:dyDescent="0.3">
      <c r="A29" s="1">
        <v>45488</v>
      </c>
      <c r="B29" t="s">
        <v>42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>
        <f>Engagement_Summary5[[#This Row],[New_Followers]]-Engagement_Summary5[[#This Row],[Unfollows]]</f>
        <v>160</v>
      </c>
      <c r="I29">
        <f>Engagement_Summary5[[#This Row],[net followers]]/Engagement_Summary5[[#This Row],[Total_Followers]]</f>
        <v>1.0211701333265254E-3</v>
      </c>
      <c r="J29">
        <f t="shared" si="0"/>
        <v>8.0976134297548567E-4</v>
      </c>
    </row>
    <row r="30" spans="1:10" x14ac:dyDescent="0.3">
      <c r="A30" s="1">
        <v>45495</v>
      </c>
      <c r="B30" t="s">
        <v>15</v>
      </c>
      <c r="C30">
        <v>508</v>
      </c>
      <c r="D30">
        <v>349</v>
      </c>
      <c r="E30">
        <v>473812</v>
      </c>
      <c r="F30">
        <v>7.88</v>
      </c>
      <c r="G30">
        <v>17328</v>
      </c>
      <c r="H30">
        <f>Engagement_Summary5[[#This Row],[New_Followers]]-Engagement_Summary5[[#This Row],[Unfollows]]</f>
        <v>159</v>
      </c>
      <c r="I30">
        <f>Engagement_Summary5[[#This Row],[net followers]]/Engagement_Summary5[[#This Row],[Total_Followers]]</f>
        <v>3.3557613568250698E-4</v>
      </c>
      <c r="J30">
        <f t="shared" si="0"/>
        <v>1.0849865197189691E-3</v>
      </c>
    </row>
    <row r="31" spans="1:10" x14ac:dyDescent="0.3">
      <c r="A31" s="1">
        <v>45495</v>
      </c>
      <c r="B31" t="s">
        <v>48</v>
      </c>
      <c r="C31">
        <v>1391</v>
      </c>
      <c r="D31">
        <v>430</v>
      </c>
      <c r="E31">
        <v>295032</v>
      </c>
      <c r="F31">
        <v>7.86</v>
      </c>
      <c r="G31">
        <v>26067</v>
      </c>
      <c r="H31">
        <f>Engagement_Summary5[[#This Row],[New_Followers]]-Engagement_Summary5[[#This Row],[Unfollows]]</f>
        <v>961</v>
      </c>
      <c r="I31">
        <f>Engagement_Summary5[[#This Row],[net followers]]/Engagement_Summary5[[#This Row],[Total_Followers]]</f>
        <v>3.2572737872501967E-3</v>
      </c>
      <c r="J31">
        <f t="shared" si="0"/>
        <v>1.5380066854197431E-3</v>
      </c>
    </row>
    <row r="32" spans="1:10" x14ac:dyDescent="0.3">
      <c r="A32" s="1">
        <v>45495</v>
      </c>
      <c r="B32" t="s">
        <v>26</v>
      </c>
      <c r="C32">
        <v>1701</v>
      </c>
      <c r="D32">
        <v>385</v>
      </c>
      <c r="E32">
        <v>198278</v>
      </c>
      <c r="F32">
        <v>5.34</v>
      </c>
      <c r="G32">
        <v>32763</v>
      </c>
      <c r="H32">
        <f>Engagement_Summary5[[#This Row],[New_Followers]]-Engagement_Summary5[[#This Row],[Unfollows]]</f>
        <v>1316</v>
      </c>
      <c r="I32">
        <f>Engagement_Summary5[[#This Row],[net followers]]/Engagement_Summary5[[#This Row],[Total_Followers]]</f>
        <v>6.6371458255580548E-3</v>
      </c>
      <c r="J32">
        <f t="shared" si="0"/>
        <v>3.4099985828302524E-3</v>
      </c>
    </row>
    <row r="33" spans="1:10" x14ac:dyDescent="0.3">
      <c r="A33" s="1">
        <v>45495</v>
      </c>
      <c r="B33" t="s">
        <v>42</v>
      </c>
      <c r="C33">
        <v>804</v>
      </c>
      <c r="D33">
        <v>487</v>
      </c>
      <c r="E33">
        <v>306564</v>
      </c>
      <c r="F33">
        <v>5.52</v>
      </c>
      <c r="G33">
        <v>26452</v>
      </c>
      <c r="H33">
        <f>Engagement_Summary5[[#This Row],[New_Followers]]-Engagement_Summary5[[#This Row],[Unfollows]]</f>
        <v>317</v>
      </c>
      <c r="I33">
        <f>Engagement_Summary5[[#This Row],[net followers]]/Engagement_Summary5[[#This Row],[Total_Followers]]</f>
        <v>1.0340418313957282E-3</v>
      </c>
      <c r="J33">
        <f t="shared" si="0"/>
        <v>3.6428204814013265E-3</v>
      </c>
    </row>
    <row r="34" spans="1:10" x14ac:dyDescent="0.3">
      <c r="A34" s="1">
        <v>45502</v>
      </c>
      <c r="B34" t="s">
        <v>15</v>
      </c>
      <c r="C34">
        <v>653</v>
      </c>
      <c r="D34">
        <v>112</v>
      </c>
      <c r="E34">
        <v>23664</v>
      </c>
      <c r="F34">
        <v>4.05</v>
      </c>
      <c r="G34">
        <v>15353</v>
      </c>
      <c r="H34">
        <f>Engagement_Summary5[[#This Row],[New_Followers]]-Engagement_Summary5[[#This Row],[Unfollows]]</f>
        <v>541</v>
      </c>
      <c r="I34">
        <f>Engagement_Summary5[[#This Row],[net followers]]/Engagement_Summary5[[#This Row],[Total_Followers]]</f>
        <v>2.2861730899256253E-2</v>
      </c>
      <c r="J34">
        <f t="shared" si="0"/>
        <v>1.0177639518736679E-2</v>
      </c>
    </row>
    <row r="35" spans="1:10" x14ac:dyDescent="0.3">
      <c r="A35" s="1">
        <v>45502</v>
      </c>
      <c r="B35" t="s">
        <v>48</v>
      </c>
      <c r="C35">
        <v>160</v>
      </c>
      <c r="D35">
        <v>478</v>
      </c>
      <c r="E35">
        <v>435034</v>
      </c>
      <c r="F35">
        <v>7.73</v>
      </c>
      <c r="G35">
        <v>4839</v>
      </c>
      <c r="H35">
        <f>Engagement_Summary5[[#This Row],[New_Followers]]-Engagement_Summary5[[#This Row],[Unfollows]]</f>
        <v>-318</v>
      </c>
      <c r="I35">
        <f>Engagement_Summary5[[#This Row],[net followers]]/Engagement_Summary5[[#This Row],[Total_Followers]]</f>
        <v>-7.3097734889686784E-4</v>
      </c>
      <c r="J35">
        <f t="shared" si="0"/>
        <v>7.7215984605850385E-3</v>
      </c>
    </row>
    <row r="36" spans="1:10" x14ac:dyDescent="0.3">
      <c r="A36" s="1">
        <v>45502</v>
      </c>
      <c r="B36" t="s">
        <v>26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>
        <f>Engagement_Summary5[[#This Row],[New_Followers]]-Engagement_Summary5[[#This Row],[Unfollows]]</f>
        <v>1495</v>
      </c>
      <c r="I36">
        <f>Engagement_Summary5[[#This Row],[net followers]]/Engagement_Summary5[[#This Row],[Total_Followers]]</f>
        <v>5.1986619096302169E-3</v>
      </c>
      <c r="J36">
        <f t="shared" si="0"/>
        <v>9.1098051533298682E-3</v>
      </c>
    </row>
    <row r="37" spans="1:10" x14ac:dyDescent="0.3">
      <c r="A37" s="1">
        <v>45502</v>
      </c>
      <c r="B37" t="s">
        <v>42</v>
      </c>
      <c r="C37">
        <v>576</v>
      </c>
      <c r="D37">
        <v>101</v>
      </c>
      <c r="E37">
        <v>62499</v>
      </c>
      <c r="F37">
        <v>3.48</v>
      </c>
      <c r="G37">
        <v>16804</v>
      </c>
      <c r="H37">
        <f>Engagement_Summary5[[#This Row],[New_Followers]]-Engagement_Summary5[[#This Row],[Unfollows]]</f>
        <v>475</v>
      </c>
      <c r="I37">
        <f>Engagement_Summary5[[#This Row],[net followers]]/Engagement_Summary5[[#This Row],[Total_Followers]]</f>
        <v>7.600121601945631E-3</v>
      </c>
      <c r="J37">
        <f t="shared" si="0"/>
        <v>4.0226020542263267E-3</v>
      </c>
    </row>
    <row r="38" spans="1:10" x14ac:dyDescent="0.3">
      <c r="A38" s="1">
        <v>45509</v>
      </c>
      <c r="B38" t="s">
        <v>15</v>
      </c>
      <c r="C38">
        <v>645</v>
      </c>
      <c r="D38">
        <v>293</v>
      </c>
      <c r="E38">
        <v>437968</v>
      </c>
      <c r="F38">
        <v>7.83</v>
      </c>
      <c r="G38">
        <v>49303</v>
      </c>
      <c r="H38">
        <f>Engagement_Summary5[[#This Row],[New_Followers]]-Engagement_Summary5[[#This Row],[Unfollows]]</f>
        <v>352</v>
      </c>
      <c r="I38">
        <f>Engagement_Summary5[[#This Row],[net followers]]/Engagement_Summary5[[#This Row],[Total_Followers]]</f>
        <v>8.0371168669857163E-4</v>
      </c>
      <c r="J38">
        <f t="shared" si="0"/>
        <v>4.5341650660914732E-3</v>
      </c>
    </row>
    <row r="39" spans="1:10" x14ac:dyDescent="0.3">
      <c r="A39" s="1">
        <v>45509</v>
      </c>
      <c r="B39" t="s">
        <v>48</v>
      </c>
      <c r="C39">
        <v>214</v>
      </c>
      <c r="D39">
        <v>411</v>
      </c>
      <c r="E39">
        <v>125034</v>
      </c>
      <c r="F39">
        <v>6.11</v>
      </c>
      <c r="G39">
        <v>26455</v>
      </c>
      <c r="H39">
        <f>Engagement_Summary5[[#This Row],[New_Followers]]-Engagement_Summary5[[#This Row],[Unfollows]]</f>
        <v>-197</v>
      </c>
      <c r="I39">
        <f>Engagement_Summary5[[#This Row],[net followers]]/Engagement_Summary5[[#This Row],[Total_Followers]]</f>
        <v>-1.5755714445670778E-3</v>
      </c>
      <c r="J39">
        <f t="shared" si="0"/>
        <v>2.2760872813590411E-3</v>
      </c>
    </row>
    <row r="40" spans="1:10" x14ac:dyDescent="0.3">
      <c r="A40" s="1">
        <v>45509</v>
      </c>
      <c r="B40" t="s">
        <v>26</v>
      </c>
      <c r="C40">
        <v>826</v>
      </c>
      <c r="D40">
        <v>498</v>
      </c>
      <c r="E40">
        <v>449994</v>
      </c>
      <c r="F40">
        <v>9.43</v>
      </c>
      <c r="G40">
        <v>12384</v>
      </c>
      <c r="H40">
        <f>Engagement_Summary5[[#This Row],[New_Followers]]-Engagement_Summary5[[#This Row],[Unfollows]]</f>
        <v>328</v>
      </c>
      <c r="I40">
        <f>Engagement_Summary5[[#This Row],[net followers]]/Engagement_Summary5[[#This Row],[Total_Followers]]</f>
        <v>7.2889860753698943E-4</v>
      </c>
      <c r="J40">
        <f t="shared" si="0"/>
        <v>-1.4320383443838921E-5</v>
      </c>
    </row>
    <row r="41" spans="1:10" x14ac:dyDescent="0.3">
      <c r="A41" s="1">
        <v>45509</v>
      </c>
      <c r="B41" t="s">
        <v>42</v>
      </c>
      <c r="C41">
        <v>460</v>
      </c>
      <c r="D41">
        <v>141</v>
      </c>
      <c r="E41">
        <v>320650</v>
      </c>
      <c r="F41">
        <v>4.04</v>
      </c>
      <c r="G41">
        <v>49372</v>
      </c>
      <c r="H41">
        <f>Engagement_Summary5[[#This Row],[New_Followers]]-Engagement_Summary5[[#This Row],[Unfollows]]</f>
        <v>319</v>
      </c>
      <c r="I41">
        <f>Engagement_Summary5[[#This Row],[net followers]]/Engagement_Summary5[[#This Row],[Total_Followers]]</f>
        <v>9.9485420240137223E-4</v>
      </c>
      <c r="J41">
        <f t="shared" si="0"/>
        <v>4.9393788457094617E-5</v>
      </c>
    </row>
    <row r="42" spans="1:10" x14ac:dyDescent="0.3">
      <c r="A42" s="1">
        <v>45516</v>
      </c>
      <c r="B42" t="s">
        <v>15</v>
      </c>
      <c r="C42">
        <v>1528</v>
      </c>
      <c r="D42">
        <v>203</v>
      </c>
      <c r="E42">
        <v>489188</v>
      </c>
      <c r="F42">
        <v>6.23</v>
      </c>
      <c r="G42">
        <v>47101</v>
      </c>
      <c r="H42">
        <f>Engagement_Summary5[[#This Row],[New_Followers]]-Engagement_Summary5[[#This Row],[Unfollows]]</f>
        <v>1325</v>
      </c>
      <c r="I42">
        <f>Engagement_Summary5[[#This Row],[net followers]]/Engagement_Summary5[[#This Row],[Total_Followers]]</f>
        <v>2.7085701202809553E-3</v>
      </c>
      <c r="J42">
        <f t="shared" si="0"/>
        <v>1.4774409767397724E-3</v>
      </c>
    </row>
    <row r="43" spans="1:10" x14ac:dyDescent="0.3">
      <c r="A43" s="1">
        <v>45516</v>
      </c>
      <c r="B43" t="s">
        <v>48</v>
      </c>
      <c r="C43">
        <v>1534</v>
      </c>
      <c r="D43">
        <v>200</v>
      </c>
      <c r="E43">
        <v>307612</v>
      </c>
      <c r="F43">
        <v>6.01</v>
      </c>
      <c r="G43">
        <v>37903</v>
      </c>
      <c r="H43">
        <f>Engagement_Summary5[[#This Row],[New_Followers]]-Engagement_Summary5[[#This Row],[Unfollows]]</f>
        <v>1334</v>
      </c>
      <c r="I43">
        <f>Engagement_Summary5[[#This Row],[net followers]]/Engagement_Summary5[[#This Row],[Total_Followers]]</f>
        <v>4.3366318609156986E-3</v>
      </c>
      <c r="J43">
        <f t="shared" si="0"/>
        <v>2.6800187278660085E-3</v>
      </c>
    </row>
    <row r="44" spans="1:10" x14ac:dyDescent="0.3">
      <c r="A44" s="1">
        <v>45516</v>
      </c>
      <c r="B44" t="s">
        <v>26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>
        <f>Engagement_Summary5[[#This Row],[New_Followers]]-Engagement_Summary5[[#This Row],[Unfollows]]</f>
        <v>37</v>
      </c>
      <c r="I44">
        <f>Engagement_Summary5[[#This Row],[net followers]]/Engagement_Summary5[[#This Row],[Total_Followers]]</f>
        <v>8.5080354946042954E-5</v>
      </c>
      <c r="J44">
        <f t="shared" si="0"/>
        <v>2.3767607787142323E-3</v>
      </c>
    </row>
    <row r="45" spans="1:10" x14ac:dyDescent="0.3">
      <c r="A45" s="1">
        <v>45516</v>
      </c>
      <c r="B45" t="s">
        <v>42</v>
      </c>
      <c r="C45">
        <v>1210</v>
      </c>
      <c r="D45">
        <v>178</v>
      </c>
      <c r="E45">
        <v>102042</v>
      </c>
      <c r="F45">
        <v>5.42</v>
      </c>
      <c r="G45">
        <v>6915</v>
      </c>
      <c r="H45">
        <f>Engagement_Summary5[[#This Row],[New_Followers]]-Engagement_Summary5[[#This Row],[Unfollows]]</f>
        <v>1032</v>
      </c>
      <c r="I45">
        <f>Engagement_Summary5[[#This Row],[net followers]]/Engagement_Summary5[[#This Row],[Total_Followers]]</f>
        <v>1.011348268360087E-2</v>
      </c>
      <c r="J45">
        <f t="shared" si="0"/>
        <v>4.8450649664875372E-3</v>
      </c>
    </row>
    <row r="46" spans="1:10" x14ac:dyDescent="0.3">
      <c r="A46" s="1">
        <v>45523</v>
      </c>
      <c r="B46" t="s">
        <v>15</v>
      </c>
      <c r="C46">
        <v>215</v>
      </c>
      <c r="D46">
        <v>139</v>
      </c>
      <c r="E46">
        <v>325444</v>
      </c>
      <c r="F46">
        <v>3.25</v>
      </c>
      <c r="G46">
        <v>35501</v>
      </c>
      <c r="H46">
        <f>Engagement_Summary5[[#This Row],[New_Followers]]-Engagement_Summary5[[#This Row],[Unfollows]]</f>
        <v>76</v>
      </c>
      <c r="I46">
        <f>Engagement_Summary5[[#This Row],[net followers]]/Engagement_Summary5[[#This Row],[Total_Followers]]</f>
        <v>2.335271198731579E-4</v>
      </c>
      <c r="J46">
        <f t="shared" si="0"/>
        <v>3.4773633861400234E-3</v>
      </c>
    </row>
    <row r="47" spans="1:10" x14ac:dyDescent="0.3">
      <c r="A47" s="1">
        <v>45523</v>
      </c>
      <c r="B47" t="s">
        <v>48</v>
      </c>
      <c r="C47">
        <v>1078</v>
      </c>
      <c r="D47">
        <v>20</v>
      </c>
      <c r="E47">
        <v>183924</v>
      </c>
      <c r="F47">
        <v>8.84</v>
      </c>
      <c r="G47">
        <v>14203</v>
      </c>
      <c r="H47">
        <f>Engagement_Summary5[[#This Row],[New_Followers]]-Engagement_Summary5[[#This Row],[Unfollows]]</f>
        <v>1058</v>
      </c>
      <c r="I47">
        <f>Engagement_Summary5[[#This Row],[net followers]]/Engagement_Summary5[[#This Row],[Total_Followers]]</f>
        <v>5.7523759813836147E-3</v>
      </c>
      <c r="J47">
        <f t="shared" si="0"/>
        <v>5.3664619282858808E-3</v>
      </c>
    </row>
    <row r="48" spans="1:10" x14ac:dyDescent="0.3">
      <c r="A48" s="1">
        <v>45523</v>
      </c>
      <c r="B48" t="s">
        <v>26</v>
      </c>
      <c r="C48">
        <v>1751</v>
      </c>
      <c r="D48">
        <v>86</v>
      </c>
      <c r="E48">
        <v>188655</v>
      </c>
      <c r="F48">
        <v>7.24</v>
      </c>
      <c r="G48">
        <v>22206</v>
      </c>
      <c r="H48">
        <f>Engagement_Summary5[[#This Row],[New_Followers]]-Engagement_Summary5[[#This Row],[Unfollows]]</f>
        <v>1665</v>
      </c>
      <c r="I48">
        <f>Engagement_Summary5[[#This Row],[net followers]]/Engagement_Summary5[[#This Row],[Total_Followers]]</f>
        <v>8.825634093981077E-3</v>
      </c>
      <c r="J48">
        <f t="shared" si="0"/>
        <v>4.937179065079283E-3</v>
      </c>
    </row>
    <row r="49" spans="1:10" x14ac:dyDescent="0.3">
      <c r="A49" s="1">
        <v>45523</v>
      </c>
      <c r="B49" t="s">
        <v>42</v>
      </c>
      <c r="C49">
        <v>221</v>
      </c>
      <c r="D49">
        <v>31</v>
      </c>
      <c r="E49">
        <v>87443</v>
      </c>
      <c r="F49">
        <v>6.19</v>
      </c>
      <c r="G49">
        <v>10283</v>
      </c>
      <c r="H49">
        <f>Engagement_Summary5[[#This Row],[New_Followers]]-Engagement_Summary5[[#This Row],[Unfollows]]</f>
        <v>190</v>
      </c>
      <c r="I49">
        <f>Engagement_Summary5[[#This Row],[net followers]]/Engagement_Summary5[[#This Row],[Total_Followers]]</f>
        <v>2.1728440241071327E-3</v>
      </c>
      <c r="J49">
        <f t="shared" si="0"/>
        <v>5.5836180331572749E-3</v>
      </c>
    </row>
    <row r="50" spans="1:10" x14ac:dyDescent="0.3">
      <c r="A50" s="1">
        <v>45530</v>
      </c>
      <c r="B50" t="s">
        <v>15</v>
      </c>
      <c r="C50">
        <v>1685</v>
      </c>
      <c r="D50">
        <v>76</v>
      </c>
      <c r="E50">
        <v>453799</v>
      </c>
      <c r="F50">
        <v>5.71</v>
      </c>
      <c r="G50">
        <v>24913</v>
      </c>
      <c r="H50">
        <f>Engagement_Summary5[[#This Row],[New_Followers]]-Engagement_Summary5[[#This Row],[Unfollows]]</f>
        <v>1609</v>
      </c>
      <c r="I50">
        <f>Engagement_Summary5[[#This Row],[net followers]]/Engagement_Summary5[[#This Row],[Total_Followers]]</f>
        <v>3.5456226214689766E-3</v>
      </c>
      <c r="J50">
        <f t="shared" si="0"/>
        <v>4.848033579852396E-3</v>
      </c>
    </row>
    <row r="51" spans="1:10" x14ac:dyDescent="0.3">
      <c r="A51" s="1">
        <v>45530</v>
      </c>
      <c r="B51" t="s">
        <v>48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>
        <f>Engagement_Summary5[[#This Row],[New_Followers]]-Engagement_Summary5[[#This Row],[Unfollows]]</f>
        <v>37</v>
      </c>
      <c r="I51">
        <f>Engagement_Summary5[[#This Row],[net followers]]/Engagement_Summary5[[#This Row],[Total_Followers]]</f>
        <v>9.7527544941747058E-5</v>
      </c>
      <c r="J51">
        <f t="shared" si="0"/>
        <v>1.9386647301726189E-3</v>
      </c>
    </row>
    <row r="52" spans="1:10" x14ac:dyDescent="0.3">
      <c r="A52" s="1">
        <v>45530</v>
      </c>
      <c r="B52" t="s">
        <v>26</v>
      </c>
      <c r="C52">
        <v>1300</v>
      </c>
      <c r="D52">
        <v>71</v>
      </c>
      <c r="E52">
        <v>186454</v>
      </c>
      <c r="F52">
        <v>3.91</v>
      </c>
      <c r="G52">
        <v>9942</v>
      </c>
      <c r="H52">
        <f>Engagement_Summary5[[#This Row],[New_Followers]]-Engagement_Summary5[[#This Row],[Unfollows]]</f>
        <v>1229</v>
      </c>
      <c r="I52">
        <f>Engagement_Summary5[[#This Row],[net followers]]/Engagement_Summary5[[#This Row],[Total_Followers]]</f>
        <v>6.5914381026955706E-3</v>
      </c>
      <c r="J52">
        <f t="shared" si="0"/>
        <v>3.4115294230354313E-3</v>
      </c>
    </row>
    <row r="53" spans="1:10" x14ac:dyDescent="0.3">
      <c r="A53" s="1">
        <v>45530</v>
      </c>
      <c r="B53" t="s">
        <v>42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f>Engagement_Summary5[[#This Row],[New_Followers]]-Engagement_Summary5[[#This Row],[Unfollows]]</f>
        <v>28</v>
      </c>
      <c r="I53">
        <f>Engagement_Summary5[[#This Row],[net followers]]/Engagement_Summary5[[#This Row],[Total_Followers]]</f>
        <v>1.1713324743561855E-4</v>
      </c>
      <c r="J53">
        <f t="shared" si="0"/>
        <v>2.2686996316909785E-3</v>
      </c>
    </row>
    <row r="54" spans="1:10" x14ac:dyDescent="0.3">
      <c r="A54" s="1">
        <v>45537</v>
      </c>
      <c r="B54" t="s">
        <v>15</v>
      </c>
      <c r="C54">
        <v>1429</v>
      </c>
      <c r="D54">
        <v>182</v>
      </c>
      <c r="E54">
        <v>101332</v>
      </c>
      <c r="F54">
        <v>7.16</v>
      </c>
      <c r="G54">
        <v>37829</v>
      </c>
      <c r="H54">
        <f>Engagement_Summary5[[#This Row],[New_Followers]]-Engagement_Summary5[[#This Row],[Unfollows]]</f>
        <v>1247</v>
      </c>
      <c r="I54">
        <f>Engagement_Summary5[[#This Row],[net followers]]/Engagement_Summary5[[#This Row],[Total_Followers]]</f>
        <v>1.2306082974775983E-2</v>
      </c>
      <c r="J54">
        <f t="shared" si="0"/>
        <v>6.338218108302391E-3</v>
      </c>
    </row>
    <row r="55" spans="1:10" x14ac:dyDescent="0.3">
      <c r="A55" s="1">
        <v>45537</v>
      </c>
      <c r="B55" t="s">
        <v>48</v>
      </c>
      <c r="C55">
        <v>1520</v>
      </c>
      <c r="D55">
        <v>475</v>
      </c>
      <c r="E55">
        <v>496982</v>
      </c>
      <c r="F55">
        <v>6.41</v>
      </c>
      <c r="G55">
        <v>24384</v>
      </c>
      <c r="H55">
        <f>Engagement_Summary5[[#This Row],[New_Followers]]-Engagement_Summary5[[#This Row],[Unfollows]]</f>
        <v>1045</v>
      </c>
      <c r="I55">
        <f>Engagement_Summary5[[#This Row],[net followers]]/Engagement_Summary5[[#This Row],[Total_Followers]]</f>
        <v>2.1026918479944948E-3</v>
      </c>
      <c r="J55">
        <f t="shared" si="0"/>
        <v>4.8419693567353659E-3</v>
      </c>
    </row>
    <row r="56" spans="1:10" x14ac:dyDescent="0.3">
      <c r="A56" s="1">
        <v>45537</v>
      </c>
      <c r="B56" t="s">
        <v>26</v>
      </c>
      <c r="C56">
        <v>557</v>
      </c>
      <c r="D56">
        <v>360</v>
      </c>
      <c r="E56">
        <v>318779</v>
      </c>
      <c r="F56">
        <v>8.02</v>
      </c>
      <c r="G56">
        <v>25797</v>
      </c>
      <c r="H56">
        <f>Engagement_Summary5[[#This Row],[New_Followers]]-Engagement_Summary5[[#This Row],[Unfollows]]</f>
        <v>197</v>
      </c>
      <c r="I56">
        <f>Engagement_Summary5[[#This Row],[net followers]]/Engagement_Summary5[[#This Row],[Total_Followers]]</f>
        <v>6.1798299135137512E-4</v>
      </c>
      <c r="J56">
        <f t="shared" si="0"/>
        <v>5.0089192713739508E-3</v>
      </c>
    </row>
    <row r="57" spans="1:10" x14ac:dyDescent="0.3">
      <c r="A57" s="1">
        <v>45537</v>
      </c>
      <c r="B57" t="s">
        <v>42</v>
      </c>
      <c r="C57">
        <v>728</v>
      </c>
      <c r="D57">
        <v>395</v>
      </c>
      <c r="E57">
        <v>370971</v>
      </c>
      <c r="F57">
        <v>3.86</v>
      </c>
      <c r="G57">
        <v>12646</v>
      </c>
      <c r="H57">
        <f>Engagement_Summary5[[#This Row],[New_Followers]]-Engagement_Summary5[[#This Row],[Unfollows]]</f>
        <v>333</v>
      </c>
      <c r="I57">
        <f>Engagement_Summary5[[#This Row],[net followers]]/Engagement_Summary5[[#This Row],[Total_Followers]]</f>
        <v>8.9764429025449434E-4</v>
      </c>
      <c r="J57">
        <f t="shared" si="0"/>
        <v>1.2061063765334548E-3</v>
      </c>
    </row>
    <row r="58" spans="1:10" x14ac:dyDescent="0.3">
      <c r="A58" s="1">
        <v>45544</v>
      </c>
      <c r="B58" t="s">
        <v>15</v>
      </c>
      <c r="C58">
        <v>1592</v>
      </c>
      <c r="D58">
        <v>20</v>
      </c>
      <c r="E58">
        <v>378054</v>
      </c>
      <c r="F58">
        <v>9.09</v>
      </c>
      <c r="G58">
        <v>26663</v>
      </c>
      <c r="H58">
        <f>Engagement_Summary5[[#This Row],[New_Followers]]-Engagement_Summary5[[#This Row],[Unfollows]]</f>
        <v>1572</v>
      </c>
      <c r="I58">
        <f>Engagement_Summary5[[#This Row],[net followers]]/Engagement_Summary5[[#This Row],[Total_Followers]]</f>
        <v>4.1581361392816901E-3</v>
      </c>
      <c r="J58">
        <f t="shared" si="0"/>
        <v>1.8912544736291864E-3</v>
      </c>
    </row>
    <row r="59" spans="1:10" x14ac:dyDescent="0.3">
      <c r="A59" s="1">
        <v>45544</v>
      </c>
      <c r="B59" t="s">
        <v>48</v>
      </c>
      <c r="C59">
        <v>1842</v>
      </c>
      <c r="D59">
        <v>414</v>
      </c>
      <c r="E59">
        <v>307524</v>
      </c>
      <c r="F59">
        <v>1.76</v>
      </c>
      <c r="G59">
        <v>40478</v>
      </c>
      <c r="H59">
        <f>Engagement_Summary5[[#This Row],[New_Followers]]-Engagement_Summary5[[#This Row],[Unfollows]]</f>
        <v>1428</v>
      </c>
      <c r="I59">
        <f>Engagement_Summary5[[#This Row],[net followers]]/Engagement_Summary5[[#This Row],[Total_Followers]]</f>
        <v>4.6435400163889647E-3</v>
      </c>
      <c r="J59">
        <f t="shared" si="0"/>
        <v>3.2331068153083828E-3</v>
      </c>
    </row>
    <row r="60" spans="1:10" x14ac:dyDescent="0.3">
      <c r="A60" s="1">
        <v>45544</v>
      </c>
      <c r="B60" t="s">
        <v>26</v>
      </c>
      <c r="C60">
        <v>751</v>
      </c>
      <c r="D60">
        <v>491</v>
      </c>
      <c r="E60">
        <v>434047</v>
      </c>
      <c r="F60">
        <v>9.24</v>
      </c>
      <c r="G60">
        <v>15476</v>
      </c>
      <c r="H60">
        <f>Engagement_Summary5[[#This Row],[New_Followers]]-Engagement_Summary5[[#This Row],[Unfollows]]</f>
        <v>260</v>
      </c>
      <c r="I60">
        <f>Engagement_Summary5[[#This Row],[net followers]]/Engagement_Summary5[[#This Row],[Total_Followers]]</f>
        <v>5.990134708914012E-4</v>
      </c>
      <c r="J60">
        <f t="shared" si="0"/>
        <v>3.1335632088540185E-3</v>
      </c>
    </row>
    <row r="61" spans="1:10" x14ac:dyDescent="0.3">
      <c r="A61" s="1">
        <v>45544</v>
      </c>
      <c r="B61" t="s">
        <v>42</v>
      </c>
      <c r="C61">
        <v>1409</v>
      </c>
      <c r="D61">
        <v>309</v>
      </c>
      <c r="E61">
        <v>64583</v>
      </c>
      <c r="F61">
        <v>8.99</v>
      </c>
      <c r="G61">
        <v>10217</v>
      </c>
      <c r="H61">
        <f>Engagement_Summary5[[#This Row],[New_Followers]]-Engagement_Summary5[[#This Row],[Unfollows]]</f>
        <v>1100</v>
      </c>
      <c r="I61">
        <f>Engagement_Summary5[[#This Row],[net followers]]/Engagement_Summary5[[#This Row],[Total_Followers]]</f>
        <v>1.7032345973398571E-2</v>
      </c>
      <c r="J61">
        <f t="shared" si="0"/>
        <v>7.4249664868929789E-3</v>
      </c>
    </row>
    <row r="62" spans="1:10" x14ac:dyDescent="0.3">
      <c r="A62" s="1">
        <v>45551</v>
      </c>
      <c r="B62" t="s">
        <v>15</v>
      </c>
      <c r="C62">
        <v>778</v>
      </c>
      <c r="D62">
        <v>401</v>
      </c>
      <c r="E62">
        <v>50793</v>
      </c>
      <c r="F62">
        <v>3.4</v>
      </c>
      <c r="G62">
        <v>21939</v>
      </c>
      <c r="H62">
        <f>Engagement_Summary5[[#This Row],[New_Followers]]-Engagement_Summary5[[#This Row],[Unfollows]]</f>
        <v>377</v>
      </c>
      <c r="I62">
        <f>Engagement_Summary5[[#This Row],[net followers]]/Engagement_Summary5[[#This Row],[Total_Followers]]</f>
        <v>7.4222825979957871E-3</v>
      </c>
      <c r="J62">
        <f t="shared" si="0"/>
        <v>8.3512140140952536E-3</v>
      </c>
    </row>
    <row r="63" spans="1:10" x14ac:dyDescent="0.3">
      <c r="A63" s="1">
        <v>45551</v>
      </c>
      <c r="B63" t="s">
        <v>48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>
        <f>Engagement_Summary5[[#This Row],[New_Followers]]-Engagement_Summary5[[#This Row],[Unfollows]]</f>
        <v>98</v>
      </c>
      <c r="I63">
        <f>Engagement_Summary5[[#This Row],[net followers]]/Engagement_Summary5[[#This Row],[Total_Followers]]</f>
        <v>2.0668041724136477E-4</v>
      </c>
      <c r="J63">
        <f t="shared" si="0"/>
        <v>8.2204363295452412E-3</v>
      </c>
    </row>
    <row r="64" spans="1:10" x14ac:dyDescent="0.3">
      <c r="A64" s="1">
        <v>45551</v>
      </c>
      <c r="B64" t="s">
        <v>26</v>
      </c>
      <c r="C64">
        <v>1472</v>
      </c>
      <c r="D64">
        <v>347</v>
      </c>
      <c r="E64">
        <v>392355</v>
      </c>
      <c r="F64">
        <v>8.59</v>
      </c>
      <c r="G64">
        <v>30270</v>
      </c>
      <c r="H64">
        <f>Engagement_Summary5[[#This Row],[New_Followers]]-Engagement_Summary5[[#This Row],[Unfollows]]</f>
        <v>1125</v>
      </c>
      <c r="I64">
        <f>Engagement_Summary5[[#This Row],[net followers]]/Engagement_Summary5[[#This Row],[Total_Followers]]</f>
        <v>2.8673012960201858E-3</v>
      </c>
      <c r="J64">
        <f t="shared" si="0"/>
        <v>3.4987547704191124E-3</v>
      </c>
    </row>
    <row r="65" spans="1:10" x14ac:dyDescent="0.3">
      <c r="A65" s="1">
        <v>45551</v>
      </c>
      <c r="B65" t="s">
        <v>42</v>
      </c>
      <c r="C65">
        <v>123</v>
      </c>
      <c r="D65">
        <v>155</v>
      </c>
      <c r="E65">
        <v>119934</v>
      </c>
      <c r="F65">
        <v>3.5</v>
      </c>
      <c r="G65">
        <v>5442</v>
      </c>
      <c r="H65">
        <f>Engagement_Summary5[[#This Row],[New_Followers]]-Engagement_Summary5[[#This Row],[Unfollows]]</f>
        <v>-32</v>
      </c>
      <c r="I65">
        <f>Engagement_Summary5[[#This Row],[net followers]]/Engagement_Summary5[[#This Row],[Total_Followers]]</f>
        <v>-2.6681341404439108E-4</v>
      </c>
      <c r="J65">
        <f t="shared" si="0"/>
        <v>9.3572276640571975E-4</v>
      </c>
    </row>
    <row r="66" spans="1:10" x14ac:dyDescent="0.3">
      <c r="A66" s="1">
        <v>45558</v>
      </c>
      <c r="B66" t="s">
        <v>15</v>
      </c>
      <c r="C66">
        <v>817</v>
      </c>
      <c r="D66">
        <v>151</v>
      </c>
      <c r="E66">
        <v>422625</v>
      </c>
      <c r="F66">
        <v>2.36</v>
      </c>
      <c r="G66">
        <v>1083</v>
      </c>
      <c r="H66">
        <f>Engagement_Summary5[[#This Row],[New_Followers]]-Engagement_Summary5[[#This Row],[Unfollows]]</f>
        <v>666</v>
      </c>
      <c r="I66">
        <f>Engagement_Summary5[[#This Row],[net followers]]/Engagement_Summary5[[#This Row],[Total_Followers]]</f>
        <v>1.5758651286601596E-3</v>
      </c>
      <c r="J66">
        <f t="shared" si="0"/>
        <v>1.3921176702119849E-3</v>
      </c>
    </row>
    <row r="67" spans="1:10" x14ac:dyDescent="0.3">
      <c r="A67" s="1">
        <v>45558</v>
      </c>
      <c r="B67" t="s">
        <v>48</v>
      </c>
      <c r="C67">
        <v>198</v>
      </c>
      <c r="D67">
        <v>217</v>
      </c>
      <c r="E67">
        <v>239753</v>
      </c>
      <c r="F67">
        <v>7.36</v>
      </c>
      <c r="G67">
        <v>11901</v>
      </c>
      <c r="H67">
        <f>Engagement_Summary5[[#This Row],[New_Followers]]-Engagement_Summary5[[#This Row],[Unfollows]]</f>
        <v>-19</v>
      </c>
      <c r="I67">
        <f>Engagement_Summary5[[#This Row],[net followers]]/Engagement_Summary5[[#This Row],[Total_Followers]]</f>
        <v>-7.9248226299566635E-5</v>
      </c>
      <c r="J67">
        <f t="shared" si="0"/>
        <v>4.0993449610540067E-4</v>
      </c>
    </row>
    <row r="68" spans="1:10" x14ac:dyDescent="0.3">
      <c r="A68" s="1">
        <v>45558</v>
      </c>
      <c r="B68" t="s">
        <v>26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>
        <f>Engagement_Summary5[[#This Row],[New_Followers]]-Engagement_Summary5[[#This Row],[Unfollows]]</f>
        <v>1680</v>
      </c>
      <c r="I68">
        <f>Engagement_Summary5[[#This Row],[net followers]]/Engagement_Summary5[[#This Row],[Total_Followers]]</f>
        <v>6.2566104068286429E-3</v>
      </c>
      <c r="J68">
        <f t="shared" ref="J68:J131" si="1">AVERAGE(I66:I68)</f>
        <v>2.5844091030630787E-3</v>
      </c>
    </row>
    <row r="69" spans="1:10" x14ac:dyDescent="0.3">
      <c r="A69" s="1">
        <v>45558</v>
      </c>
      <c r="B69" t="s">
        <v>42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>
        <f>Engagement_Summary5[[#This Row],[New_Followers]]-Engagement_Summary5[[#This Row],[Unfollows]]</f>
        <v>1006</v>
      </c>
      <c r="I69">
        <f>Engagement_Summary5[[#This Row],[net followers]]/Engagement_Summary5[[#This Row],[Total_Followers]]</f>
        <v>1.592351646960128E-2</v>
      </c>
      <c r="J69">
        <f t="shared" si="1"/>
        <v>7.3669595500434519E-3</v>
      </c>
    </row>
    <row r="70" spans="1:10" x14ac:dyDescent="0.3">
      <c r="A70" s="1">
        <v>45565</v>
      </c>
      <c r="B70" t="s">
        <v>15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>Engagement_Summary5[[#This Row],[New_Followers]]-Engagement_Summary5[[#This Row],[Unfollows]]</f>
        <v>1025</v>
      </c>
      <c r="I70">
        <f>Engagement_Summary5[[#This Row],[net followers]]/Engagement_Summary5[[#This Row],[Total_Followers]]</f>
        <v>2.7682576721248606E-3</v>
      </c>
      <c r="J70">
        <f t="shared" si="1"/>
        <v>8.316128182851594E-3</v>
      </c>
    </row>
    <row r="71" spans="1:10" x14ac:dyDescent="0.3">
      <c r="A71" s="1">
        <v>45565</v>
      </c>
      <c r="B71" t="s">
        <v>48</v>
      </c>
      <c r="C71">
        <v>250</v>
      </c>
      <c r="D71">
        <v>429</v>
      </c>
      <c r="E71">
        <v>453423</v>
      </c>
      <c r="F71">
        <v>1.77</v>
      </c>
      <c r="G71">
        <v>2315</v>
      </c>
      <c r="H71">
        <f>Engagement_Summary5[[#This Row],[New_Followers]]-Engagement_Summary5[[#This Row],[Unfollows]]</f>
        <v>-179</v>
      </c>
      <c r="I71">
        <f>Engagement_Summary5[[#This Row],[net followers]]/Engagement_Summary5[[#This Row],[Total_Followers]]</f>
        <v>-3.9477485703195471E-4</v>
      </c>
      <c r="J71">
        <f t="shared" si="1"/>
        <v>6.0989997615647279E-3</v>
      </c>
    </row>
    <row r="72" spans="1:10" x14ac:dyDescent="0.3">
      <c r="A72" s="1">
        <v>45565</v>
      </c>
      <c r="B72" t="s">
        <v>26</v>
      </c>
      <c r="C72">
        <v>752</v>
      </c>
      <c r="D72">
        <v>153</v>
      </c>
      <c r="E72">
        <v>64906</v>
      </c>
      <c r="F72">
        <v>2.09</v>
      </c>
      <c r="G72">
        <v>12148</v>
      </c>
      <c r="H72">
        <f>Engagement_Summary5[[#This Row],[New_Followers]]-Engagement_Summary5[[#This Row],[Unfollows]]</f>
        <v>599</v>
      </c>
      <c r="I72">
        <f>Engagement_Summary5[[#This Row],[net followers]]/Engagement_Summary5[[#This Row],[Total_Followers]]</f>
        <v>9.2287307798970819E-3</v>
      </c>
      <c r="J72">
        <f t="shared" si="1"/>
        <v>3.8674045316633293E-3</v>
      </c>
    </row>
    <row r="73" spans="1:10" x14ac:dyDescent="0.3">
      <c r="A73" s="1">
        <v>45565</v>
      </c>
      <c r="B73" t="s">
        <v>42</v>
      </c>
      <c r="C73">
        <v>1918</v>
      </c>
      <c r="D73">
        <v>212</v>
      </c>
      <c r="E73">
        <v>94360</v>
      </c>
      <c r="F73">
        <v>7.36</v>
      </c>
      <c r="G73">
        <v>36851</v>
      </c>
      <c r="H73">
        <f>Engagement_Summary5[[#This Row],[New_Followers]]-Engagement_Summary5[[#This Row],[Unfollows]]</f>
        <v>1706</v>
      </c>
      <c r="I73">
        <f>Engagement_Summary5[[#This Row],[net followers]]/Engagement_Summary5[[#This Row],[Total_Followers]]</f>
        <v>1.8079694785926241E-2</v>
      </c>
      <c r="J73">
        <f t="shared" si="1"/>
        <v>8.9712169029304567E-3</v>
      </c>
    </row>
    <row r="74" spans="1:10" x14ac:dyDescent="0.3">
      <c r="A74" s="1">
        <v>45572</v>
      </c>
      <c r="B74" t="s">
        <v>15</v>
      </c>
      <c r="C74">
        <v>1939</v>
      </c>
      <c r="D74">
        <v>67</v>
      </c>
      <c r="E74">
        <v>187183</v>
      </c>
      <c r="F74">
        <v>6.25</v>
      </c>
      <c r="G74">
        <v>41215</v>
      </c>
      <c r="H74">
        <f>Engagement_Summary5[[#This Row],[New_Followers]]-Engagement_Summary5[[#This Row],[Unfollows]]</f>
        <v>1872</v>
      </c>
      <c r="I74">
        <f>Engagement_Summary5[[#This Row],[net followers]]/Engagement_Summary5[[#This Row],[Total_Followers]]</f>
        <v>1.0000908202133741E-2</v>
      </c>
      <c r="J74">
        <f t="shared" si="1"/>
        <v>1.2436444589319022E-2</v>
      </c>
    </row>
    <row r="75" spans="1:10" x14ac:dyDescent="0.3">
      <c r="A75" s="1">
        <v>45572</v>
      </c>
      <c r="B75" t="s">
        <v>48</v>
      </c>
      <c r="C75">
        <v>1929</v>
      </c>
      <c r="D75">
        <v>267</v>
      </c>
      <c r="E75">
        <v>379363</v>
      </c>
      <c r="F75">
        <v>1.75</v>
      </c>
      <c r="G75">
        <v>43836</v>
      </c>
      <c r="H75">
        <f>Engagement_Summary5[[#This Row],[New_Followers]]-Engagement_Summary5[[#This Row],[Unfollows]]</f>
        <v>1662</v>
      </c>
      <c r="I75">
        <f>Engagement_Summary5[[#This Row],[net followers]]/Engagement_Summary5[[#This Row],[Total_Followers]]</f>
        <v>4.3810281972675247E-3</v>
      </c>
      <c r="J75">
        <f t="shared" si="1"/>
        <v>1.0820543728442503E-2</v>
      </c>
    </row>
    <row r="76" spans="1:10" x14ac:dyDescent="0.3">
      <c r="A76" s="1">
        <v>45572</v>
      </c>
      <c r="B76" t="s">
        <v>26</v>
      </c>
      <c r="C76">
        <v>437</v>
      </c>
      <c r="D76">
        <v>330</v>
      </c>
      <c r="E76">
        <v>476486</v>
      </c>
      <c r="F76">
        <v>4.97</v>
      </c>
      <c r="G76">
        <v>4509</v>
      </c>
      <c r="H76">
        <f>Engagement_Summary5[[#This Row],[New_Followers]]-Engagement_Summary5[[#This Row],[Unfollows]]</f>
        <v>107</v>
      </c>
      <c r="I76">
        <f>Engagement_Summary5[[#This Row],[net followers]]/Engagement_Summary5[[#This Row],[Total_Followers]]</f>
        <v>2.2456063766826309E-4</v>
      </c>
      <c r="J76">
        <f t="shared" si="1"/>
        <v>4.8688323456898431E-3</v>
      </c>
    </row>
    <row r="77" spans="1:10" x14ac:dyDescent="0.3">
      <c r="A77" s="1">
        <v>45572</v>
      </c>
      <c r="B77" t="s">
        <v>42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>
        <f>Engagement_Summary5[[#This Row],[New_Followers]]-Engagement_Summary5[[#This Row],[Unfollows]]</f>
        <v>118</v>
      </c>
      <c r="I77">
        <f>Engagement_Summary5[[#This Row],[net followers]]/Engagement_Summary5[[#This Row],[Total_Followers]]</f>
        <v>1.0019784829366461E-3</v>
      </c>
      <c r="J77">
        <f t="shared" si="1"/>
        <v>1.8691891059574781E-3</v>
      </c>
    </row>
    <row r="78" spans="1:10" x14ac:dyDescent="0.3">
      <c r="A78" s="1">
        <v>45579</v>
      </c>
      <c r="B78" t="s">
        <v>15</v>
      </c>
      <c r="C78">
        <v>1527</v>
      </c>
      <c r="D78">
        <v>303</v>
      </c>
      <c r="E78">
        <v>388555</v>
      </c>
      <c r="F78">
        <v>8.9</v>
      </c>
      <c r="G78">
        <v>36397</v>
      </c>
      <c r="H78">
        <f>Engagement_Summary5[[#This Row],[New_Followers]]-Engagement_Summary5[[#This Row],[Unfollows]]</f>
        <v>1224</v>
      </c>
      <c r="I78">
        <f>Engagement_Summary5[[#This Row],[net followers]]/Engagement_Summary5[[#This Row],[Total_Followers]]</f>
        <v>3.1501331857780751E-3</v>
      </c>
      <c r="J78">
        <f t="shared" si="1"/>
        <v>1.4588907687943283E-3</v>
      </c>
    </row>
    <row r="79" spans="1:10" x14ac:dyDescent="0.3">
      <c r="A79" s="1">
        <v>45579</v>
      </c>
      <c r="B79" t="s">
        <v>48</v>
      </c>
      <c r="C79">
        <v>643</v>
      </c>
      <c r="D79">
        <v>358</v>
      </c>
      <c r="E79">
        <v>157599</v>
      </c>
      <c r="F79">
        <v>3.88</v>
      </c>
      <c r="G79">
        <v>7285</v>
      </c>
      <c r="H79">
        <f>Engagement_Summary5[[#This Row],[New_Followers]]-Engagement_Summary5[[#This Row],[Unfollows]]</f>
        <v>285</v>
      </c>
      <c r="I79">
        <f>Engagement_Summary5[[#This Row],[net followers]]/Engagement_Summary5[[#This Row],[Total_Followers]]</f>
        <v>1.8083871090552605E-3</v>
      </c>
      <c r="J79">
        <f t="shared" si="1"/>
        <v>1.9868329259233272E-3</v>
      </c>
    </row>
    <row r="80" spans="1:10" x14ac:dyDescent="0.3">
      <c r="A80" s="1">
        <v>45579</v>
      </c>
      <c r="B80" t="s">
        <v>26</v>
      </c>
      <c r="C80">
        <v>201</v>
      </c>
      <c r="D80">
        <v>221</v>
      </c>
      <c r="E80">
        <v>309772</v>
      </c>
      <c r="F80">
        <v>5.9</v>
      </c>
      <c r="G80">
        <v>33174</v>
      </c>
      <c r="H80">
        <f>Engagement_Summary5[[#This Row],[New_Followers]]-Engagement_Summary5[[#This Row],[Unfollows]]</f>
        <v>-20</v>
      </c>
      <c r="I80">
        <f>Engagement_Summary5[[#This Row],[net followers]]/Engagement_Summary5[[#This Row],[Total_Followers]]</f>
        <v>-6.456361452939582E-5</v>
      </c>
      <c r="J80">
        <f t="shared" si="1"/>
        <v>1.6313188934346465E-3</v>
      </c>
    </row>
    <row r="81" spans="1:10" x14ac:dyDescent="0.3">
      <c r="A81" s="1">
        <v>45579</v>
      </c>
      <c r="B81" t="s">
        <v>42</v>
      </c>
      <c r="C81">
        <v>414</v>
      </c>
      <c r="D81">
        <v>47</v>
      </c>
      <c r="E81">
        <v>199178</v>
      </c>
      <c r="F81">
        <v>1.53</v>
      </c>
      <c r="G81">
        <v>6742</v>
      </c>
      <c r="H81">
        <f>Engagement_Summary5[[#This Row],[New_Followers]]-Engagement_Summary5[[#This Row],[Unfollows]]</f>
        <v>367</v>
      </c>
      <c r="I81">
        <f>Engagement_Summary5[[#This Row],[net followers]]/Engagement_Summary5[[#This Row],[Total_Followers]]</f>
        <v>1.8425729749269497E-3</v>
      </c>
      <c r="J81">
        <f t="shared" si="1"/>
        <v>1.1954654898176048E-3</v>
      </c>
    </row>
    <row r="82" spans="1:10" x14ac:dyDescent="0.3">
      <c r="A82" s="1">
        <v>45586</v>
      </c>
      <c r="B82" t="s">
        <v>15</v>
      </c>
      <c r="C82">
        <v>703</v>
      </c>
      <c r="D82">
        <v>441</v>
      </c>
      <c r="E82">
        <v>357089</v>
      </c>
      <c r="F82">
        <v>6.5</v>
      </c>
      <c r="G82">
        <v>32478</v>
      </c>
      <c r="H82">
        <f>Engagement_Summary5[[#This Row],[New_Followers]]-Engagement_Summary5[[#This Row],[Unfollows]]</f>
        <v>262</v>
      </c>
      <c r="I82">
        <f>Engagement_Summary5[[#This Row],[net followers]]/Engagement_Summary5[[#This Row],[Total_Followers]]</f>
        <v>7.3371064356504961E-4</v>
      </c>
      <c r="J82">
        <f t="shared" si="1"/>
        <v>8.3724000132086784E-4</v>
      </c>
    </row>
    <row r="83" spans="1:10" x14ac:dyDescent="0.3">
      <c r="A83" s="1">
        <v>45586</v>
      </c>
      <c r="B83" t="s">
        <v>48</v>
      </c>
      <c r="C83">
        <v>508</v>
      </c>
      <c r="D83">
        <v>69</v>
      </c>
      <c r="E83">
        <v>23492</v>
      </c>
      <c r="F83">
        <v>3.16</v>
      </c>
      <c r="G83">
        <v>42824</v>
      </c>
      <c r="H83">
        <f>Engagement_Summary5[[#This Row],[New_Followers]]-Engagement_Summary5[[#This Row],[Unfollows]]</f>
        <v>439</v>
      </c>
      <c r="I83">
        <f>Engagement_Summary5[[#This Row],[net followers]]/Engagement_Summary5[[#This Row],[Total_Followers]]</f>
        <v>1.8687212668142345E-2</v>
      </c>
      <c r="J83">
        <f t="shared" si="1"/>
        <v>7.0878320955447818E-3</v>
      </c>
    </row>
    <row r="84" spans="1:10" x14ac:dyDescent="0.3">
      <c r="A84" s="1">
        <v>45586</v>
      </c>
      <c r="B84" t="s">
        <v>26</v>
      </c>
      <c r="C84">
        <v>697</v>
      </c>
      <c r="D84">
        <v>61</v>
      </c>
      <c r="E84">
        <v>258287</v>
      </c>
      <c r="F84">
        <v>8.25</v>
      </c>
      <c r="G84">
        <v>21208</v>
      </c>
      <c r="H84">
        <f>Engagement_Summary5[[#This Row],[New_Followers]]-Engagement_Summary5[[#This Row],[Unfollows]]</f>
        <v>636</v>
      </c>
      <c r="I84">
        <f>Engagement_Summary5[[#This Row],[net followers]]/Engagement_Summary5[[#This Row],[Total_Followers]]</f>
        <v>2.4623771231227277E-3</v>
      </c>
      <c r="J84">
        <f t="shared" si="1"/>
        <v>7.2944334782767085E-3</v>
      </c>
    </row>
    <row r="85" spans="1:10" x14ac:dyDescent="0.3">
      <c r="A85" s="1">
        <v>45586</v>
      </c>
      <c r="B85" t="s">
        <v>42</v>
      </c>
      <c r="C85">
        <v>1707</v>
      </c>
      <c r="D85">
        <v>223</v>
      </c>
      <c r="E85">
        <v>256910</v>
      </c>
      <c r="F85">
        <v>5.41</v>
      </c>
      <c r="G85">
        <v>44321</v>
      </c>
      <c r="H85">
        <f>Engagement_Summary5[[#This Row],[New_Followers]]-Engagement_Summary5[[#This Row],[Unfollows]]</f>
        <v>1484</v>
      </c>
      <c r="I85">
        <f>Engagement_Summary5[[#This Row],[net followers]]/Engagement_Summary5[[#This Row],[Total_Followers]]</f>
        <v>5.7763419096181542E-3</v>
      </c>
      <c r="J85">
        <f t="shared" si="1"/>
        <v>8.9753105669610755E-3</v>
      </c>
    </row>
    <row r="86" spans="1:10" x14ac:dyDescent="0.3">
      <c r="A86" s="1">
        <v>45593</v>
      </c>
      <c r="B86" t="s">
        <v>15</v>
      </c>
      <c r="C86">
        <v>642</v>
      </c>
      <c r="D86">
        <v>66</v>
      </c>
      <c r="E86">
        <v>346522</v>
      </c>
      <c r="F86">
        <v>5.85</v>
      </c>
      <c r="G86">
        <v>13116</v>
      </c>
      <c r="H86">
        <f>Engagement_Summary5[[#This Row],[New_Followers]]-Engagement_Summary5[[#This Row],[Unfollows]]</f>
        <v>576</v>
      </c>
      <c r="I86">
        <f>Engagement_Summary5[[#This Row],[net followers]]/Engagement_Summary5[[#This Row],[Total_Followers]]</f>
        <v>1.6622321237901201E-3</v>
      </c>
      <c r="J86">
        <f t="shared" si="1"/>
        <v>3.3003170521770007E-3</v>
      </c>
    </row>
    <row r="87" spans="1:10" x14ac:dyDescent="0.3">
      <c r="A87" s="1">
        <v>45593</v>
      </c>
      <c r="B87" t="s">
        <v>48</v>
      </c>
      <c r="C87">
        <v>859</v>
      </c>
      <c r="D87">
        <v>473</v>
      </c>
      <c r="E87">
        <v>209987</v>
      </c>
      <c r="F87">
        <v>4.46</v>
      </c>
      <c r="G87">
        <v>30214</v>
      </c>
      <c r="H87">
        <f>Engagement_Summary5[[#This Row],[New_Followers]]-Engagement_Summary5[[#This Row],[Unfollows]]</f>
        <v>386</v>
      </c>
      <c r="I87">
        <f>Engagement_Summary5[[#This Row],[net followers]]/Engagement_Summary5[[#This Row],[Total_Followers]]</f>
        <v>1.8382090319876945E-3</v>
      </c>
      <c r="J87">
        <f t="shared" si="1"/>
        <v>3.092261021798656E-3</v>
      </c>
    </row>
    <row r="88" spans="1:10" x14ac:dyDescent="0.3">
      <c r="A88" s="1">
        <v>45593</v>
      </c>
      <c r="B88" t="s">
        <v>26</v>
      </c>
      <c r="C88">
        <v>191</v>
      </c>
      <c r="D88">
        <v>154</v>
      </c>
      <c r="E88">
        <v>240550</v>
      </c>
      <c r="F88">
        <v>5.22</v>
      </c>
      <c r="G88">
        <v>15827</v>
      </c>
      <c r="H88">
        <f>Engagement_Summary5[[#This Row],[New_Followers]]-Engagement_Summary5[[#This Row],[Unfollows]]</f>
        <v>37</v>
      </c>
      <c r="I88">
        <f>Engagement_Summary5[[#This Row],[net followers]]/Engagement_Summary5[[#This Row],[Total_Followers]]</f>
        <v>1.5381417584701726E-4</v>
      </c>
      <c r="J88">
        <f t="shared" si="1"/>
        <v>1.2180851105416106E-3</v>
      </c>
    </row>
    <row r="89" spans="1:10" x14ac:dyDescent="0.3">
      <c r="A89" s="1">
        <v>45593</v>
      </c>
      <c r="B89" t="s">
        <v>42</v>
      </c>
      <c r="C89">
        <v>1814</v>
      </c>
      <c r="D89">
        <v>157</v>
      </c>
      <c r="E89">
        <v>305827</v>
      </c>
      <c r="F89">
        <v>1.99</v>
      </c>
      <c r="G89">
        <v>46643</v>
      </c>
      <c r="H89">
        <f>Engagement_Summary5[[#This Row],[New_Followers]]-Engagement_Summary5[[#This Row],[Unfollows]]</f>
        <v>1657</v>
      </c>
      <c r="I89">
        <f>Engagement_Summary5[[#This Row],[net followers]]/Engagement_Summary5[[#This Row],[Total_Followers]]</f>
        <v>5.4180958515762179E-3</v>
      </c>
      <c r="J89">
        <f t="shared" si="1"/>
        <v>2.4700396864703101E-3</v>
      </c>
    </row>
    <row r="90" spans="1:10" x14ac:dyDescent="0.3">
      <c r="A90" s="1">
        <v>45600</v>
      </c>
      <c r="B90" t="s">
        <v>15</v>
      </c>
      <c r="C90">
        <v>1466</v>
      </c>
      <c r="D90">
        <v>69</v>
      </c>
      <c r="E90">
        <v>54935</v>
      </c>
      <c r="F90">
        <v>6.85</v>
      </c>
      <c r="G90">
        <v>36484</v>
      </c>
      <c r="H90">
        <f>Engagement_Summary5[[#This Row],[New_Followers]]-Engagement_Summary5[[#This Row],[Unfollows]]</f>
        <v>1397</v>
      </c>
      <c r="I90">
        <f>Engagement_Summary5[[#This Row],[net followers]]/Engagement_Summary5[[#This Row],[Total_Followers]]</f>
        <v>2.5430053699827069E-2</v>
      </c>
      <c r="J90">
        <f t="shared" si="1"/>
        <v>1.0333987909083435E-2</v>
      </c>
    </row>
    <row r="91" spans="1:10" x14ac:dyDescent="0.3">
      <c r="A91" s="1">
        <v>45600</v>
      </c>
      <c r="B91" t="s">
        <v>48</v>
      </c>
      <c r="C91">
        <v>947</v>
      </c>
      <c r="D91">
        <v>407</v>
      </c>
      <c r="E91">
        <v>319186</v>
      </c>
      <c r="F91">
        <v>3.32</v>
      </c>
      <c r="G91">
        <v>4996</v>
      </c>
      <c r="H91">
        <f>Engagement_Summary5[[#This Row],[New_Followers]]-Engagement_Summary5[[#This Row],[Unfollows]]</f>
        <v>540</v>
      </c>
      <c r="I91">
        <f>Engagement_Summary5[[#This Row],[net followers]]/Engagement_Summary5[[#This Row],[Total_Followers]]</f>
        <v>1.6918035252172713E-3</v>
      </c>
      <c r="J91">
        <f t="shared" si="1"/>
        <v>1.0846651025540187E-2</v>
      </c>
    </row>
    <row r="92" spans="1:10" x14ac:dyDescent="0.3">
      <c r="A92" s="1">
        <v>45600</v>
      </c>
      <c r="B92" t="s">
        <v>26</v>
      </c>
      <c r="C92">
        <v>1821</v>
      </c>
      <c r="D92">
        <v>218</v>
      </c>
      <c r="E92">
        <v>439080</v>
      </c>
      <c r="F92">
        <v>5.68</v>
      </c>
      <c r="G92">
        <v>36095</v>
      </c>
      <c r="H92">
        <f>Engagement_Summary5[[#This Row],[New_Followers]]-Engagement_Summary5[[#This Row],[Unfollows]]</f>
        <v>1603</v>
      </c>
      <c r="I92">
        <f>Engagement_Summary5[[#This Row],[net followers]]/Engagement_Summary5[[#This Row],[Total_Followers]]</f>
        <v>3.6508153411678964E-3</v>
      </c>
      <c r="J92">
        <f t="shared" si="1"/>
        <v>1.0257557522070746E-2</v>
      </c>
    </row>
    <row r="93" spans="1:10" x14ac:dyDescent="0.3">
      <c r="A93" s="1">
        <v>45600</v>
      </c>
      <c r="B93" t="s">
        <v>42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f>Engagement_Summary5[[#This Row],[New_Followers]]-Engagement_Summary5[[#This Row],[Unfollows]]</f>
        <v>1044</v>
      </c>
      <c r="I93">
        <f>Engagement_Summary5[[#This Row],[net followers]]/Engagement_Summary5[[#This Row],[Total_Followers]]</f>
        <v>4.0317597627286209E-3</v>
      </c>
      <c r="J93">
        <f t="shared" si="1"/>
        <v>3.1247928763712628E-3</v>
      </c>
    </row>
    <row r="94" spans="1:10" x14ac:dyDescent="0.3">
      <c r="A94" s="1">
        <v>45607</v>
      </c>
      <c r="B94" t="s">
        <v>15</v>
      </c>
      <c r="C94">
        <v>1075</v>
      </c>
      <c r="D94">
        <v>173</v>
      </c>
      <c r="E94">
        <v>51395</v>
      </c>
      <c r="F94">
        <v>4.66</v>
      </c>
      <c r="G94">
        <v>47812</v>
      </c>
      <c r="H94">
        <f>Engagement_Summary5[[#This Row],[New_Followers]]-Engagement_Summary5[[#This Row],[Unfollows]]</f>
        <v>902</v>
      </c>
      <c r="I94">
        <f>Engagement_Summary5[[#This Row],[net followers]]/Engagement_Summary5[[#This Row],[Total_Followers]]</f>
        <v>1.7550345364335054E-2</v>
      </c>
      <c r="J94">
        <f t="shared" si="1"/>
        <v>8.4109734894105229E-3</v>
      </c>
    </row>
    <row r="95" spans="1:10" x14ac:dyDescent="0.3">
      <c r="A95" s="1">
        <v>45607</v>
      </c>
      <c r="B95" t="s">
        <v>48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>
        <f>Engagement_Summary5[[#This Row],[New_Followers]]-Engagement_Summary5[[#This Row],[Unfollows]]</f>
        <v>-106</v>
      </c>
      <c r="I95">
        <f>Engagement_Summary5[[#This Row],[net followers]]/Engagement_Summary5[[#This Row],[Total_Followers]]</f>
        <v>-3.4250669665215861E-4</v>
      </c>
      <c r="J95">
        <f t="shared" si="1"/>
        <v>7.0798661434705061E-3</v>
      </c>
    </row>
    <row r="96" spans="1:10" x14ac:dyDescent="0.3">
      <c r="A96" s="1">
        <v>45607</v>
      </c>
      <c r="B96" t="s">
        <v>26</v>
      </c>
      <c r="C96">
        <v>1487</v>
      </c>
      <c r="D96">
        <v>337</v>
      </c>
      <c r="E96">
        <v>87305</v>
      </c>
      <c r="F96">
        <v>2.46</v>
      </c>
      <c r="G96">
        <v>30428</v>
      </c>
      <c r="H96">
        <f>Engagement_Summary5[[#This Row],[New_Followers]]-Engagement_Summary5[[#This Row],[Unfollows]]</f>
        <v>1150</v>
      </c>
      <c r="I96">
        <f>Engagement_Summary5[[#This Row],[net followers]]/Engagement_Summary5[[#This Row],[Total_Followers]]</f>
        <v>1.3172212358971423E-2</v>
      </c>
      <c r="J96">
        <f t="shared" si="1"/>
        <v>1.0126683675551439E-2</v>
      </c>
    </row>
    <row r="97" spans="1:10" x14ac:dyDescent="0.3">
      <c r="A97" s="1">
        <v>45607</v>
      </c>
      <c r="B97" t="s">
        <v>42</v>
      </c>
      <c r="C97">
        <v>454</v>
      </c>
      <c r="D97">
        <v>105</v>
      </c>
      <c r="E97">
        <v>121091</v>
      </c>
      <c r="F97">
        <v>7.97</v>
      </c>
      <c r="G97">
        <v>9269</v>
      </c>
      <c r="H97">
        <f>Engagement_Summary5[[#This Row],[New_Followers]]-Engagement_Summary5[[#This Row],[Unfollows]]</f>
        <v>349</v>
      </c>
      <c r="I97">
        <f>Engagement_Summary5[[#This Row],[net followers]]/Engagement_Summary5[[#This Row],[Total_Followers]]</f>
        <v>2.8821299683708945E-3</v>
      </c>
      <c r="J97">
        <f t="shared" si="1"/>
        <v>5.2372785435633867E-3</v>
      </c>
    </row>
    <row r="98" spans="1:10" x14ac:dyDescent="0.3">
      <c r="A98" s="1">
        <v>45614</v>
      </c>
      <c r="B98" t="s">
        <v>15</v>
      </c>
      <c r="C98">
        <v>187</v>
      </c>
      <c r="D98">
        <v>236</v>
      </c>
      <c r="E98">
        <v>51087</v>
      </c>
      <c r="F98">
        <v>9.41</v>
      </c>
      <c r="G98">
        <v>29533</v>
      </c>
      <c r="H98">
        <f>Engagement_Summary5[[#This Row],[New_Followers]]-Engagement_Summary5[[#This Row],[Unfollows]]</f>
        <v>-49</v>
      </c>
      <c r="I98">
        <f>Engagement_Summary5[[#This Row],[net followers]]/Engagement_Summary5[[#This Row],[Total_Followers]]</f>
        <v>-9.5914811987394058E-4</v>
      </c>
      <c r="J98">
        <f t="shared" si="1"/>
        <v>5.0317314024894595E-3</v>
      </c>
    </row>
    <row r="99" spans="1:10" x14ac:dyDescent="0.3">
      <c r="A99" s="1">
        <v>45614</v>
      </c>
      <c r="B99" t="s">
        <v>48</v>
      </c>
      <c r="C99">
        <v>513</v>
      </c>
      <c r="D99">
        <v>441</v>
      </c>
      <c r="E99">
        <v>338847</v>
      </c>
      <c r="F99">
        <v>2.68</v>
      </c>
      <c r="G99">
        <v>39997</v>
      </c>
      <c r="H99">
        <f>Engagement_Summary5[[#This Row],[New_Followers]]-Engagement_Summary5[[#This Row],[Unfollows]]</f>
        <v>72</v>
      </c>
      <c r="I99">
        <f>Engagement_Summary5[[#This Row],[net followers]]/Engagement_Summary5[[#This Row],[Total_Followers]]</f>
        <v>2.1248528096751631E-4</v>
      </c>
      <c r="J99">
        <f t="shared" si="1"/>
        <v>7.1182237648815671E-4</v>
      </c>
    </row>
    <row r="100" spans="1:10" x14ac:dyDescent="0.3">
      <c r="A100" s="1">
        <v>45614</v>
      </c>
      <c r="B100" t="s">
        <v>26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>
        <f>Engagement_Summary5[[#This Row],[New_Followers]]-Engagement_Summary5[[#This Row],[Unfollows]]</f>
        <v>445</v>
      </c>
      <c r="I100">
        <f>Engagement_Summary5[[#This Row],[net followers]]/Engagement_Summary5[[#This Row],[Total_Followers]]</f>
        <v>9.1277744844858602E-4</v>
      </c>
      <c r="J100">
        <f t="shared" si="1"/>
        <v>5.537153651405391E-5</v>
      </c>
    </row>
    <row r="101" spans="1:10" x14ac:dyDescent="0.3">
      <c r="A101" s="1">
        <v>45614</v>
      </c>
      <c r="B101" t="s">
        <v>42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>
        <f>Engagement_Summary5[[#This Row],[New_Followers]]-Engagement_Summary5[[#This Row],[Unfollows]]</f>
        <v>60</v>
      </c>
      <c r="I101">
        <f>Engagement_Summary5[[#This Row],[net followers]]/Engagement_Summary5[[#This Row],[Total_Followers]]</f>
        <v>1.9887634863023914E-4</v>
      </c>
      <c r="J101">
        <f t="shared" si="1"/>
        <v>4.4137969268211386E-4</v>
      </c>
    </row>
    <row r="102" spans="1:10" x14ac:dyDescent="0.3">
      <c r="A102" s="1">
        <v>45621</v>
      </c>
      <c r="B102" t="s">
        <v>15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>
        <f>Engagement_Summary5[[#This Row],[New_Followers]]-Engagement_Summary5[[#This Row],[Unfollows]]</f>
        <v>1693</v>
      </c>
      <c r="I102">
        <f>Engagement_Summary5[[#This Row],[net followers]]/Engagement_Summary5[[#This Row],[Total_Followers]]</f>
        <v>5.9936417126309005E-3</v>
      </c>
      <c r="J102">
        <f t="shared" si="1"/>
        <v>2.3684318365699087E-3</v>
      </c>
    </row>
    <row r="103" spans="1:10" x14ac:dyDescent="0.3">
      <c r="A103" s="1">
        <v>45621</v>
      </c>
      <c r="B103" t="s">
        <v>48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>
        <f>Engagement_Summary5[[#This Row],[New_Followers]]-Engagement_Summary5[[#This Row],[Unfollows]]</f>
        <v>1332</v>
      </c>
      <c r="I103">
        <f>Engagement_Summary5[[#This Row],[net followers]]/Engagement_Summary5[[#This Row],[Total_Followers]]</f>
        <v>3.9565022381564839E-3</v>
      </c>
      <c r="J103">
        <f t="shared" si="1"/>
        <v>3.3830067664725413E-3</v>
      </c>
    </row>
    <row r="104" spans="1:10" x14ac:dyDescent="0.3">
      <c r="A104" s="1">
        <v>45621</v>
      </c>
      <c r="B104" t="s">
        <v>26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>
        <f>Engagement_Summary5[[#This Row],[New_Followers]]-Engagement_Summary5[[#This Row],[Unfollows]]</f>
        <v>98</v>
      </c>
      <c r="I104">
        <f>Engagement_Summary5[[#This Row],[net followers]]/Engagement_Summary5[[#This Row],[Total_Followers]]</f>
        <v>1.1079079758069075E-3</v>
      </c>
      <c r="J104">
        <f t="shared" si="1"/>
        <v>3.6860173088647638E-3</v>
      </c>
    </row>
    <row r="105" spans="1:10" x14ac:dyDescent="0.3">
      <c r="A105" s="1">
        <v>45621</v>
      </c>
      <c r="B105" t="s">
        <v>42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>
        <f>Engagement_Summary5[[#This Row],[New_Followers]]-Engagement_Summary5[[#This Row],[Unfollows]]</f>
        <v>885</v>
      </c>
      <c r="I105">
        <f>Engagement_Summary5[[#This Row],[net followers]]/Engagement_Summary5[[#This Row],[Total_Followers]]</f>
        <v>1.4152074838090669E-2</v>
      </c>
      <c r="J105">
        <f t="shared" si="1"/>
        <v>6.4054950173513536E-3</v>
      </c>
    </row>
    <row r="106" spans="1:10" x14ac:dyDescent="0.3">
      <c r="A106" s="1">
        <v>45628</v>
      </c>
      <c r="B106" t="s">
        <v>15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>
        <f>Engagement_Summary5[[#This Row],[New_Followers]]-Engagement_Summary5[[#This Row],[Unfollows]]</f>
        <v>1625</v>
      </c>
      <c r="I106">
        <f>Engagement_Summary5[[#This Row],[net followers]]/Engagement_Summary5[[#This Row],[Total_Followers]]</f>
        <v>3.8511033114748661E-3</v>
      </c>
      <c r="J106">
        <f t="shared" si="1"/>
        <v>6.3703620417908139E-3</v>
      </c>
    </row>
    <row r="107" spans="1:10" x14ac:dyDescent="0.3">
      <c r="A107" s="1">
        <v>45628</v>
      </c>
      <c r="B107" t="s">
        <v>48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>
        <f>Engagement_Summary5[[#This Row],[New_Followers]]-Engagement_Summary5[[#This Row],[Unfollows]]</f>
        <v>1706</v>
      </c>
      <c r="I107">
        <f>Engagement_Summary5[[#This Row],[net followers]]/Engagement_Summary5[[#This Row],[Total_Followers]]</f>
        <v>3.6277109484146308E-3</v>
      </c>
      <c r="J107">
        <f t="shared" si="1"/>
        <v>7.210296365993389E-3</v>
      </c>
    </row>
    <row r="108" spans="1:10" x14ac:dyDescent="0.3">
      <c r="A108" s="1">
        <v>45628</v>
      </c>
      <c r="B108" t="s">
        <v>26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>
        <f>Engagement_Summary5[[#This Row],[New_Followers]]-Engagement_Summary5[[#This Row],[Unfollows]]</f>
        <v>1173</v>
      </c>
      <c r="I108">
        <f>Engagement_Summary5[[#This Row],[net followers]]/Engagement_Summary5[[#This Row],[Total_Followers]]</f>
        <v>3.7850431101244257E-3</v>
      </c>
      <c r="J108">
        <f t="shared" si="1"/>
        <v>3.7546191233379742E-3</v>
      </c>
    </row>
    <row r="109" spans="1:10" x14ac:dyDescent="0.3">
      <c r="A109" s="1">
        <v>45628</v>
      </c>
      <c r="B109" t="s">
        <v>42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>
        <f>Engagement_Summary5[[#This Row],[New_Followers]]-Engagement_Summary5[[#This Row],[Unfollows]]</f>
        <v>291</v>
      </c>
      <c r="I109">
        <f>Engagement_Summary5[[#This Row],[net followers]]/Engagement_Summary5[[#This Row],[Total_Followers]]</f>
        <v>1.3151115811166245E-3</v>
      </c>
      <c r="J109">
        <f t="shared" si="1"/>
        <v>2.9092885465518935E-3</v>
      </c>
    </row>
    <row r="110" spans="1:10" x14ac:dyDescent="0.3">
      <c r="A110" s="1">
        <v>45635</v>
      </c>
      <c r="B110" t="s">
        <v>15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>
        <f>Engagement_Summary5[[#This Row],[New_Followers]]-Engagement_Summary5[[#This Row],[Unfollows]]</f>
        <v>1119</v>
      </c>
      <c r="I110">
        <f>Engagement_Summary5[[#This Row],[net followers]]/Engagement_Summary5[[#This Row],[Total_Followers]]</f>
        <v>5.0721615839286359E-3</v>
      </c>
      <c r="J110">
        <f t="shared" si="1"/>
        <v>3.3907720917232286E-3</v>
      </c>
    </row>
    <row r="111" spans="1:10" x14ac:dyDescent="0.3">
      <c r="A111" s="1">
        <v>45635</v>
      </c>
      <c r="B111" t="s">
        <v>48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>
        <f>Engagement_Summary5[[#This Row],[New_Followers]]-Engagement_Summary5[[#This Row],[Unfollows]]</f>
        <v>1373</v>
      </c>
      <c r="I111">
        <f>Engagement_Summary5[[#This Row],[net followers]]/Engagement_Summary5[[#This Row],[Total_Followers]]</f>
        <v>3.8307014117515761E-2</v>
      </c>
      <c r="J111">
        <f t="shared" si="1"/>
        <v>1.4898095760853674E-2</v>
      </c>
    </row>
    <row r="112" spans="1:10" x14ac:dyDescent="0.3">
      <c r="A112" s="1">
        <v>45635</v>
      </c>
      <c r="B112" t="s">
        <v>26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>
        <f>Engagement_Summary5[[#This Row],[New_Followers]]-Engagement_Summary5[[#This Row],[Unfollows]]</f>
        <v>1727</v>
      </c>
      <c r="I112">
        <f>Engagement_Summary5[[#This Row],[net followers]]/Engagement_Summary5[[#This Row],[Total_Followers]]</f>
        <v>8.3806473528412681E-2</v>
      </c>
      <c r="J112">
        <f t="shared" si="1"/>
        <v>4.2395216409952363E-2</v>
      </c>
    </row>
    <row r="113" spans="1:10" x14ac:dyDescent="0.3">
      <c r="A113" s="1">
        <v>45635</v>
      </c>
      <c r="B113" t="s">
        <v>42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>
        <f>Engagement_Summary5[[#This Row],[New_Followers]]-Engagement_Summary5[[#This Row],[Unfollows]]</f>
        <v>573</v>
      </c>
      <c r="I113">
        <f>Engagement_Summary5[[#This Row],[net followers]]/Engagement_Summary5[[#This Row],[Total_Followers]]</f>
        <v>1.2679964770499277E-3</v>
      </c>
      <c r="J113">
        <f t="shared" si="1"/>
        <v>4.1127161374326121E-2</v>
      </c>
    </row>
    <row r="114" spans="1:10" x14ac:dyDescent="0.3">
      <c r="A114" s="1">
        <v>45642</v>
      </c>
      <c r="B114" t="s">
        <v>15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>
        <f>Engagement_Summary5[[#This Row],[New_Followers]]-Engagement_Summary5[[#This Row],[Unfollows]]</f>
        <v>1432</v>
      </c>
      <c r="I114">
        <f>Engagement_Summary5[[#This Row],[net followers]]/Engagement_Summary5[[#This Row],[Total_Followers]]</f>
        <v>3.0759118725472716E-3</v>
      </c>
      <c r="J114">
        <f t="shared" si="1"/>
        <v>2.9383460626003294E-2</v>
      </c>
    </row>
    <row r="115" spans="1:10" x14ac:dyDescent="0.3">
      <c r="A115" s="1">
        <v>45642</v>
      </c>
      <c r="B115" t="s">
        <v>48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>
        <f>Engagement_Summary5[[#This Row],[New_Followers]]-Engagement_Summary5[[#This Row],[Unfollows]]</f>
        <v>1377</v>
      </c>
      <c r="I115">
        <f>Engagement_Summary5[[#This Row],[net followers]]/Engagement_Summary5[[#This Row],[Total_Followers]]</f>
        <v>3.311568846722701E-3</v>
      </c>
      <c r="J115">
        <f t="shared" si="1"/>
        <v>2.5518257321066333E-3</v>
      </c>
    </row>
    <row r="116" spans="1:10" x14ac:dyDescent="0.3">
      <c r="A116" s="1">
        <v>45642</v>
      </c>
      <c r="B116" t="s">
        <v>26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>
        <f>Engagement_Summary5[[#This Row],[New_Followers]]-Engagement_Summary5[[#This Row],[Unfollows]]</f>
        <v>1359</v>
      </c>
      <c r="I116">
        <f>Engagement_Summary5[[#This Row],[net followers]]/Engagement_Summary5[[#This Row],[Total_Followers]]</f>
        <v>4.1536387893013997E-3</v>
      </c>
      <c r="J116">
        <f t="shared" si="1"/>
        <v>3.5137065028571241E-3</v>
      </c>
    </row>
    <row r="117" spans="1:10" x14ac:dyDescent="0.3">
      <c r="A117" s="1">
        <v>45642</v>
      </c>
      <c r="B117" t="s">
        <v>42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>
        <f>Engagement_Summary5[[#This Row],[New_Followers]]-Engagement_Summary5[[#This Row],[Unfollows]]</f>
        <v>876</v>
      </c>
      <c r="I117">
        <f>Engagement_Summary5[[#This Row],[net followers]]/Engagement_Summary5[[#This Row],[Total_Followers]]</f>
        <v>1.7917737946946315E-3</v>
      </c>
      <c r="J117">
        <f t="shared" si="1"/>
        <v>3.0856604769062441E-3</v>
      </c>
    </row>
    <row r="118" spans="1:10" x14ac:dyDescent="0.3">
      <c r="A118" s="1">
        <v>45649</v>
      </c>
      <c r="B118" t="s">
        <v>15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>
        <f>Engagement_Summary5[[#This Row],[New_Followers]]-Engagement_Summary5[[#This Row],[Unfollows]]</f>
        <v>684</v>
      </c>
      <c r="I118">
        <f>Engagement_Summary5[[#This Row],[net followers]]/Engagement_Summary5[[#This Row],[Total_Followers]]</f>
        <v>2.4359408109118751E-3</v>
      </c>
      <c r="J118">
        <f t="shared" si="1"/>
        <v>2.7937844649693019E-3</v>
      </c>
    </row>
    <row r="119" spans="1:10" x14ac:dyDescent="0.3">
      <c r="A119" s="1">
        <v>45649</v>
      </c>
      <c r="B119" t="s">
        <v>48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>
        <f>Engagement_Summary5[[#This Row],[New_Followers]]-Engagement_Summary5[[#This Row],[Unfollows]]</f>
        <v>730</v>
      </c>
      <c r="I119">
        <f>Engagement_Summary5[[#This Row],[net followers]]/Engagement_Summary5[[#This Row],[Total_Followers]]</f>
        <v>7.8202834584935772E-3</v>
      </c>
      <c r="J119">
        <f t="shared" si="1"/>
        <v>4.0159993547000282E-3</v>
      </c>
    </row>
    <row r="120" spans="1:10" x14ac:dyDescent="0.3">
      <c r="A120" s="1">
        <v>45649</v>
      </c>
      <c r="B120" t="s">
        <v>26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>
        <f>Engagement_Summary5[[#This Row],[New_Followers]]-Engagement_Summary5[[#This Row],[Unfollows]]</f>
        <v>911</v>
      </c>
      <c r="I120">
        <f>Engagement_Summary5[[#This Row],[net followers]]/Engagement_Summary5[[#This Row],[Total_Followers]]</f>
        <v>1.1230414576116569E-2</v>
      </c>
      <c r="J120">
        <f t="shared" si="1"/>
        <v>7.1622129485073406E-3</v>
      </c>
    </row>
    <row r="121" spans="1:10" x14ac:dyDescent="0.3">
      <c r="A121" s="1">
        <v>45649</v>
      </c>
      <c r="B121" t="s">
        <v>42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>
        <f>Engagement_Summary5[[#This Row],[New_Followers]]-Engagement_Summary5[[#This Row],[Unfollows]]</f>
        <v>1589</v>
      </c>
      <c r="I121">
        <f>Engagement_Summary5[[#This Row],[net followers]]/Engagement_Summary5[[#This Row],[Total_Followers]]</f>
        <v>6.3113158835445049E-2</v>
      </c>
      <c r="J121">
        <f t="shared" si="1"/>
        <v>2.7387952290018402E-2</v>
      </c>
    </row>
    <row r="122" spans="1:10" x14ac:dyDescent="0.3">
      <c r="A122" s="1">
        <v>45656</v>
      </c>
      <c r="B122" t="s">
        <v>15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>
        <f>Engagement_Summary5[[#This Row],[New_Followers]]-Engagement_Summary5[[#This Row],[Unfollows]]</f>
        <v>1765</v>
      </c>
      <c r="I122">
        <f>Engagement_Summary5[[#This Row],[net followers]]/Engagement_Summary5[[#This Row],[Total_Followers]]</f>
        <v>1.253515525127127E-2</v>
      </c>
      <c r="J122">
        <f t="shared" si="1"/>
        <v>2.8959576220944295E-2</v>
      </c>
    </row>
    <row r="123" spans="1:10" x14ac:dyDescent="0.3">
      <c r="A123" s="1">
        <v>45656</v>
      </c>
      <c r="B123" t="s">
        <v>48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>
        <f>Engagement_Summary5[[#This Row],[New_Followers]]-Engagement_Summary5[[#This Row],[Unfollows]]</f>
        <v>1776</v>
      </c>
      <c r="I123">
        <f>Engagement_Summary5[[#This Row],[net followers]]/Engagement_Summary5[[#This Row],[Total_Followers]]</f>
        <v>4.6806929323118035E-3</v>
      </c>
      <c r="J123">
        <f t="shared" si="1"/>
        <v>2.6776335673009372E-2</v>
      </c>
    </row>
    <row r="124" spans="1:10" x14ac:dyDescent="0.3">
      <c r="A124" s="1">
        <v>45656</v>
      </c>
      <c r="B124" t="s">
        <v>26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>
        <f>Engagement_Summary5[[#This Row],[New_Followers]]-Engagement_Summary5[[#This Row],[Unfollows]]</f>
        <v>1529</v>
      </c>
      <c r="I124">
        <f>Engagement_Summary5[[#This Row],[net followers]]/Engagement_Summary5[[#This Row],[Total_Followers]]</f>
        <v>5.5634189738421064E-3</v>
      </c>
      <c r="J124">
        <f t="shared" si="1"/>
        <v>7.5930890524750607E-3</v>
      </c>
    </row>
    <row r="125" spans="1:10" x14ac:dyDescent="0.3">
      <c r="A125" s="1">
        <v>45656</v>
      </c>
      <c r="B125" t="s">
        <v>42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>
        <f>Engagement_Summary5[[#This Row],[New_Followers]]-Engagement_Summary5[[#This Row],[Unfollows]]</f>
        <v>1460</v>
      </c>
      <c r="I125">
        <f>Engagement_Summary5[[#This Row],[net followers]]/Engagement_Summary5[[#This Row],[Total_Followers]]</f>
        <v>1.0669005078738719E-2</v>
      </c>
      <c r="J125">
        <f t="shared" si="1"/>
        <v>6.9710389949642097E-3</v>
      </c>
    </row>
    <row r="126" spans="1:10" x14ac:dyDescent="0.3">
      <c r="A126" s="1">
        <v>45663</v>
      </c>
      <c r="B126" t="s">
        <v>15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>
        <f>Engagement_Summary5[[#This Row],[New_Followers]]-Engagement_Summary5[[#This Row],[Unfollows]]</f>
        <v>903</v>
      </c>
      <c r="I126">
        <f>Engagement_Summary5[[#This Row],[net followers]]/Engagement_Summary5[[#This Row],[Total_Followers]]</f>
        <v>1.9361810704529763E-3</v>
      </c>
      <c r="J126">
        <f t="shared" si="1"/>
        <v>6.0562017076779334E-3</v>
      </c>
    </row>
    <row r="127" spans="1:10" x14ac:dyDescent="0.3">
      <c r="A127" s="1">
        <v>45663</v>
      </c>
      <c r="B127" t="s">
        <v>48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>
        <f>Engagement_Summary5[[#This Row],[New_Followers]]-Engagement_Summary5[[#This Row],[Unfollows]]</f>
        <v>620</v>
      </c>
      <c r="I127">
        <f>Engagement_Summary5[[#This Row],[net followers]]/Engagement_Summary5[[#This Row],[Total_Followers]]</f>
        <v>6.4766839378238338E-3</v>
      </c>
      <c r="J127">
        <f t="shared" si="1"/>
        <v>6.3606233623385092E-3</v>
      </c>
    </row>
    <row r="128" spans="1:10" x14ac:dyDescent="0.3">
      <c r="A128" s="1">
        <v>45663</v>
      </c>
      <c r="B128" t="s">
        <v>26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>
        <f>Engagement_Summary5[[#This Row],[New_Followers]]-Engagement_Summary5[[#This Row],[Unfollows]]</f>
        <v>1188</v>
      </c>
      <c r="I128">
        <f>Engagement_Summary5[[#This Row],[net followers]]/Engagement_Summary5[[#This Row],[Total_Followers]]</f>
        <v>3.2008104408927781E-3</v>
      </c>
      <c r="J128">
        <f t="shared" si="1"/>
        <v>3.8712251497231959E-3</v>
      </c>
    </row>
    <row r="129" spans="1:10" x14ac:dyDescent="0.3">
      <c r="A129" s="1">
        <v>45663</v>
      </c>
      <c r="B129" t="s">
        <v>42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>
        <f>Engagement_Summary5[[#This Row],[New_Followers]]-Engagement_Summary5[[#This Row],[Unfollows]]</f>
        <v>846</v>
      </c>
      <c r="I129">
        <f>Engagement_Summary5[[#This Row],[net followers]]/Engagement_Summary5[[#This Row],[Total_Followers]]</f>
        <v>8.8669950738916262E-3</v>
      </c>
      <c r="J129">
        <f t="shared" si="1"/>
        <v>6.1814964842027463E-3</v>
      </c>
    </row>
    <row r="130" spans="1:10" x14ac:dyDescent="0.3">
      <c r="A130" s="1">
        <v>45670</v>
      </c>
      <c r="B130" t="s">
        <v>15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>
        <f>Engagement_Summary5[[#This Row],[New_Followers]]-Engagement_Summary5[[#This Row],[Unfollows]]</f>
        <v>1722</v>
      </c>
      <c r="I130">
        <f>Engagement_Summary5[[#This Row],[net followers]]/Engagement_Summary5[[#This Row],[Total_Followers]]</f>
        <v>4.9282654051223049E-3</v>
      </c>
      <c r="J130">
        <f t="shared" si="1"/>
        <v>5.6653569733022364E-3</v>
      </c>
    </row>
    <row r="131" spans="1:10" x14ac:dyDescent="0.3">
      <c r="A131" s="1">
        <v>45670</v>
      </c>
      <c r="B131" t="s">
        <v>48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>
        <f>Engagement_Summary5[[#This Row],[New_Followers]]-Engagement_Summary5[[#This Row],[Unfollows]]</f>
        <v>298</v>
      </c>
      <c r="I131">
        <f>Engagement_Summary5[[#This Row],[net followers]]/Engagement_Summary5[[#This Row],[Total_Followers]]</f>
        <v>1.3262186302564765E-3</v>
      </c>
      <c r="J131">
        <f t="shared" si="1"/>
        <v>5.0404930364234693E-3</v>
      </c>
    </row>
    <row r="132" spans="1:10" x14ac:dyDescent="0.3">
      <c r="A132" s="1">
        <v>45670</v>
      </c>
      <c r="B132" t="s">
        <v>26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>
        <f>Engagement_Summary5[[#This Row],[New_Followers]]-Engagement_Summary5[[#This Row],[Unfollows]]</f>
        <v>-144</v>
      </c>
      <c r="I132">
        <f>Engagement_Summary5[[#This Row],[net followers]]/Engagement_Summary5[[#This Row],[Total_Followers]]</f>
        <v>-2.9514486693885583E-4</v>
      </c>
      <c r="J132">
        <f t="shared" ref="J132:J195" si="2">AVERAGE(I130:I132)</f>
        <v>1.986446389479975E-3</v>
      </c>
    </row>
    <row r="133" spans="1:10" x14ac:dyDescent="0.3">
      <c r="A133" s="1">
        <v>45670</v>
      </c>
      <c r="B133" t="s">
        <v>42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>
        <f>Engagement_Summary5[[#This Row],[New_Followers]]-Engagement_Summary5[[#This Row],[Unfollows]]</f>
        <v>901</v>
      </c>
      <c r="I133">
        <f>Engagement_Summary5[[#This Row],[net followers]]/Engagement_Summary5[[#This Row],[Total_Followers]]</f>
        <v>6.2409087760615087E-2</v>
      </c>
      <c r="J133">
        <f t="shared" si="2"/>
        <v>2.1146720507977571E-2</v>
      </c>
    </row>
    <row r="134" spans="1:10" x14ac:dyDescent="0.3">
      <c r="A134" s="1">
        <v>45677</v>
      </c>
      <c r="B134" t="s">
        <v>15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>
        <f>Engagement_Summary5[[#This Row],[New_Followers]]-Engagement_Summary5[[#This Row],[Unfollows]]</f>
        <v>1572</v>
      </c>
      <c r="I134">
        <f>Engagement_Summary5[[#This Row],[net followers]]/Engagement_Summary5[[#This Row],[Total_Followers]]</f>
        <v>4.0971536250166149E-3</v>
      </c>
      <c r="J134">
        <f t="shared" si="2"/>
        <v>2.2070365506230951E-2</v>
      </c>
    </row>
    <row r="135" spans="1:10" x14ac:dyDescent="0.3">
      <c r="A135" s="1">
        <v>45677</v>
      </c>
      <c r="B135" t="s">
        <v>48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>
        <f>Engagement_Summary5[[#This Row],[New_Followers]]-Engagement_Summary5[[#This Row],[Unfollows]]</f>
        <v>427</v>
      </c>
      <c r="I135">
        <f>Engagement_Summary5[[#This Row],[net followers]]/Engagement_Summary5[[#This Row],[Total_Followers]]</f>
        <v>8.9052952094934197E-4</v>
      </c>
      <c r="J135">
        <f t="shared" si="2"/>
        <v>2.246559030219368E-2</v>
      </c>
    </row>
    <row r="136" spans="1:10" x14ac:dyDescent="0.3">
      <c r="A136" s="1">
        <v>45677</v>
      </c>
      <c r="B136" t="s">
        <v>26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>Engagement_Summary5[[#This Row],[New_Followers]]-Engagement_Summary5[[#This Row],[Unfollows]]</f>
        <v>891</v>
      </c>
      <c r="I136">
        <f>Engagement_Summary5[[#This Row],[net followers]]/Engagement_Summary5[[#This Row],[Total_Followers]]</f>
        <v>7.1621491270377159E-3</v>
      </c>
      <c r="J136">
        <f t="shared" si="2"/>
        <v>4.0499440910012246E-3</v>
      </c>
    </row>
    <row r="137" spans="1:10" x14ac:dyDescent="0.3">
      <c r="A137" s="1">
        <v>45677</v>
      </c>
      <c r="B137" t="s">
        <v>42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>
        <f>Engagement_Summary5[[#This Row],[New_Followers]]-Engagement_Summary5[[#This Row],[Unfollows]]</f>
        <v>724</v>
      </c>
      <c r="I137">
        <f>Engagement_Summary5[[#This Row],[net followers]]/Engagement_Summary5[[#This Row],[Total_Followers]]</f>
        <v>2.1486931256659019E-3</v>
      </c>
      <c r="J137">
        <f t="shared" si="2"/>
        <v>3.4004572578843193E-3</v>
      </c>
    </row>
    <row r="138" spans="1:10" x14ac:dyDescent="0.3">
      <c r="A138" s="1">
        <v>45684</v>
      </c>
      <c r="B138" t="s">
        <v>15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>
        <f>Engagement_Summary5[[#This Row],[New_Followers]]-Engagement_Summary5[[#This Row],[Unfollows]]</f>
        <v>-166</v>
      </c>
      <c r="I138">
        <f>Engagement_Summary5[[#This Row],[net followers]]/Engagement_Summary5[[#This Row],[Total_Followers]]</f>
        <v>-4.6464109274628077E-4</v>
      </c>
      <c r="J138">
        <f t="shared" si="2"/>
        <v>2.9487337199857792E-3</v>
      </c>
    </row>
    <row r="139" spans="1:10" x14ac:dyDescent="0.3">
      <c r="A139" s="1">
        <v>45684</v>
      </c>
      <c r="B139" t="s">
        <v>48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>
        <f>Engagement_Summary5[[#This Row],[New_Followers]]-Engagement_Summary5[[#This Row],[Unfollows]]</f>
        <v>898</v>
      </c>
      <c r="I139">
        <f>Engagement_Summary5[[#This Row],[net followers]]/Engagement_Summary5[[#This Row],[Total_Followers]]</f>
        <v>2.7948348464241365E-3</v>
      </c>
      <c r="J139">
        <f t="shared" si="2"/>
        <v>1.4929622931145858E-3</v>
      </c>
    </row>
    <row r="140" spans="1:10" x14ac:dyDescent="0.3">
      <c r="A140" s="1">
        <v>45684</v>
      </c>
      <c r="B140" t="s">
        <v>26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>
        <f>Engagement_Summary5[[#This Row],[New_Followers]]-Engagement_Summary5[[#This Row],[Unfollows]]</f>
        <v>1426</v>
      </c>
      <c r="I140">
        <f>Engagement_Summary5[[#This Row],[net followers]]/Engagement_Summary5[[#This Row],[Total_Followers]]</f>
        <v>5.4309533874905263E-3</v>
      </c>
      <c r="J140">
        <f t="shared" si="2"/>
        <v>2.5870490470561273E-3</v>
      </c>
    </row>
    <row r="141" spans="1:10" x14ac:dyDescent="0.3">
      <c r="A141" s="1">
        <v>45684</v>
      </c>
      <c r="B141" t="s">
        <v>42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>
        <f>Engagement_Summary5[[#This Row],[New_Followers]]-Engagement_Summary5[[#This Row],[Unfollows]]</f>
        <v>1225</v>
      </c>
      <c r="I141">
        <f>Engagement_Summary5[[#This Row],[net followers]]/Engagement_Summary5[[#This Row],[Total_Followers]]</f>
        <v>2.6534161921203288E-3</v>
      </c>
      <c r="J141">
        <f t="shared" si="2"/>
        <v>3.6264014753449973E-3</v>
      </c>
    </row>
    <row r="142" spans="1:10" x14ac:dyDescent="0.3">
      <c r="A142" s="1">
        <v>45691</v>
      </c>
      <c r="B142" t="s">
        <v>15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>
        <f>Engagement_Summary5[[#This Row],[New_Followers]]-Engagement_Summary5[[#This Row],[Unfollows]]</f>
        <v>1080</v>
      </c>
      <c r="I142">
        <f>Engagement_Summary5[[#This Row],[net followers]]/Engagement_Summary5[[#This Row],[Total_Followers]]</f>
        <v>3.0720567989168156E-3</v>
      </c>
      <c r="J142">
        <f t="shared" si="2"/>
        <v>3.7188087928425573E-3</v>
      </c>
    </row>
    <row r="143" spans="1:10" x14ac:dyDescent="0.3">
      <c r="A143" s="1">
        <v>45691</v>
      </c>
      <c r="B143" t="s">
        <v>48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>
        <f>Engagement_Summary5[[#This Row],[New_Followers]]-Engagement_Summary5[[#This Row],[Unfollows]]</f>
        <v>748</v>
      </c>
      <c r="I143">
        <f>Engagement_Summary5[[#This Row],[net followers]]/Engagement_Summary5[[#This Row],[Total_Followers]]</f>
        <v>5.5005257855530306E-3</v>
      </c>
      <c r="J143">
        <f t="shared" si="2"/>
        <v>3.741999592196725E-3</v>
      </c>
    </row>
    <row r="144" spans="1:10" x14ac:dyDescent="0.3">
      <c r="A144" s="1">
        <v>45691</v>
      </c>
      <c r="B144" t="s">
        <v>26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>
        <f>Engagement_Summary5[[#This Row],[New_Followers]]-Engagement_Summary5[[#This Row],[Unfollows]]</f>
        <v>569</v>
      </c>
      <c r="I144">
        <f>Engagement_Summary5[[#This Row],[net followers]]/Engagement_Summary5[[#This Row],[Total_Followers]]</f>
        <v>3.2046588643454949E-3</v>
      </c>
      <c r="J144">
        <f t="shared" si="2"/>
        <v>3.9257471496051142E-3</v>
      </c>
    </row>
    <row r="145" spans="1:10" x14ac:dyDescent="0.3">
      <c r="A145" s="1">
        <v>45691</v>
      </c>
      <c r="B145" t="s">
        <v>42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>
        <f>Engagement_Summary5[[#This Row],[New_Followers]]-Engagement_Summary5[[#This Row],[Unfollows]]</f>
        <v>-203</v>
      </c>
      <c r="I145">
        <f>Engagement_Summary5[[#This Row],[net followers]]/Engagement_Summary5[[#This Row],[Total_Followers]]</f>
        <v>-7.4972485467156139E-4</v>
      </c>
      <c r="J145">
        <f t="shared" si="2"/>
        <v>2.6518199317423215E-3</v>
      </c>
    </row>
    <row r="146" spans="1:10" x14ac:dyDescent="0.3">
      <c r="A146" s="1">
        <v>45698</v>
      </c>
      <c r="B146" t="s">
        <v>15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>
        <f>Engagement_Summary5[[#This Row],[New_Followers]]-Engagement_Summary5[[#This Row],[Unfollows]]</f>
        <v>1723</v>
      </c>
      <c r="I146">
        <f>Engagement_Summary5[[#This Row],[net followers]]/Engagement_Summary5[[#This Row],[Total_Followers]]</f>
        <v>7.7568587198256845E-3</v>
      </c>
      <c r="J146">
        <f t="shared" si="2"/>
        <v>3.4039309098332061E-3</v>
      </c>
    </row>
    <row r="147" spans="1:10" x14ac:dyDescent="0.3">
      <c r="A147" s="1">
        <v>45698</v>
      </c>
      <c r="B147" t="s">
        <v>48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>
        <f>Engagement_Summary5[[#This Row],[New_Followers]]-Engagement_Summary5[[#This Row],[Unfollows]]</f>
        <v>912</v>
      </c>
      <c r="I147">
        <f>Engagement_Summary5[[#This Row],[net followers]]/Engagement_Summary5[[#This Row],[Total_Followers]]</f>
        <v>2.9427518601934728E-3</v>
      </c>
      <c r="J147">
        <f t="shared" si="2"/>
        <v>3.3166285751158654E-3</v>
      </c>
    </row>
    <row r="148" spans="1:10" x14ac:dyDescent="0.3">
      <c r="A148" s="1">
        <v>45698</v>
      </c>
      <c r="B148" t="s">
        <v>26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>
        <f>Engagement_Summary5[[#This Row],[New_Followers]]-Engagement_Summary5[[#This Row],[Unfollows]]</f>
        <v>1202</v>
      </c>
      <c r="I148">
        <f>Engagement_Summary5[[#This Row],[net followers]]/Engagement_Summary5[[#This Row],[Total_Followers]]</f>
        <v>9.4958208908059605E-3</v>
      </c>
      <c r="J148">
        <f t="shared" si="2"/>
        <v>6.7318104902750397E-3</v>
      </c>
    </row>
    <row r="149" spans="1:10" x14ac:dyDescent="0.3">
      <c r="A149" s="1">
        <v>45698</v>
      </c>
      <c r="B149" t="s">
        <v>42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>
        <f>Engagement_Summary5[[#This Row],[New_Followers]]-Engagement_Summary5[[#This Row],[Unfollows]]</f>
        <v>1444</v>
      </c>
      <c r="I149">
        <f>Engagement_Summary5[[#This Row],[net followers]]/Engagement_Summary5[[#This Row],[Total_Followers]]</f>
        <v>2.9756017144741179E-3</v>
      </c>
      <c r="J149">
        <f t="shared" si="2"/>
        <v>5.1380581551578501E-3</v>
      </c>
    </row>
    <row r="150" spans="1:10" x14ac:dyDescent="0.3">
      <c r="A150" s="1">
        <v>45705</v>
      </c>
      <c r="B150" t="s">
        <v>15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>
        <f>Engagement_Summary5[[#This Row],[New_Followers]]-Engagement_Summary5[[#This Row],[Unfollows]]</f>
        <v>965</v>
      </c>
      <c r="I150">
        <f>Engagement_Summary5[[#This Row],[net followers]]/Engagement_Summary5[[#This Row],[Total_Followers]]</f>
        <v>2.1291007252180398E-3</v>
      </c>
      <c r="J150">
        <f t="shared" si="2"/>
        <v>4.8668411101660397E-3</v>
      </c>
    </row>
    <row r="151" spans="1:10" x14ac:dyDescent="0.3">
      <c r="A151" s="1">
        <v>45705</v>
      </c>
      <c r="B151" t="s">
        <v>48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>
        <f>Engagement_Summary5[[#This Row],[New_Followers]]-Engagement_Summary5[[#This Row],[Unfollows]]</f>
        <v>1590</v>
      </c>
      <c r="I151">
        <f>Engagement_Summary5[[#This Row],[net followers]]/Engagement_Summary5[[#This Row],[Total_Followers]]</f>
        <v>1.5147617822744291E-2</v>
      </c>
      <c r="J151">
        <f t="shared" si="2"/>
        <v>6.7507734208121497E-3</v>
      </c>
    </row>
    <row r="152" spans="1:10" x14ac:dyDescent="0.3">
      <c r="A152" s="1">
        <v>45705</v>
      </c>
      <c r="B152" t="s">
        <v>26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>
        <f>Engagement_Summary5[[#This Row],[New_Followers]]-Engagement_Summary5[[#This Row],[Unfollows]]</f>
        <v>-37</v>
      </c>
      <c r="I152">
        <f>Engagement_Summary5[[#This Row],[net followers]]/Engagement_Summary5[[#This Row],[Total_Followers]]</f>
        <v>-2.5410691720235154E-4</v>
      </c>
      <c r="J152">
        <f t="shared" si="2"/>
        <v>5.6742038769199933E-3</v>
      </c>
    </row>
    <row r="153" spans="1:10" x14ac:dyDescent="0.3">
      <c r="A153" s="1">
        <v>45705</v>
      </c>
      <c r="B153" t="s">
        <v>42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>
        <f>Engagement_Summary5[[#This Row],[New_Followers]]-Engagement_Summary5[[#This Row],[Unfollows]]</f>
        <v>1175</v>
      </c>
      <c r="I153">
        <f>Engagement_Summary5[[#This Row],[net followers]]/Engagement_Summary5[[#This Row],[Total_Followers]]</f>
        <v>1.1086997546706926E-2</v>
      </c>
      <c r="J153">
        <f t="shared" si="2"/>
        <v>8.6601694840829548E-3</v>
      </c>
    </row>
    <row r="154" spans="1:10" x14ac:dyDescent="0.3">
      <c r="A154" s="1">
        <v>45712</v>
      </c>
      <c r="B154" t="s">
        <v>15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>
        <f>Engagement_Summary5[[#This Row],[New_Followers]]-Engagement_Summary5[[#This Row],[Unfollows]]</f>
        <v>1375</v>
      </c>
      <c r="I154">
        <f>Engagement_Summary5[[#This Row],[net followers]]/Engagement_Summary5[[#This Row],[Total_Followers]]</f>
        <v>1.0867503398564699E-2</v>
      </c>
      <c r="J154">
        <f t="shared" si="2"/>
        <v>7.233464676023091E-3</v>
      </c>
    </row>
    <row r="155" spans="1:10" x14ac:dyDescent="0.3">
      <c r="A155" s="1">
        <v>45712</v>
      </c>
      <c r="B155" t="s">
        <v>48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>
        <f>Engagement_Summary5[[#This Row],[New_Followers]]-Engagement_Summary5[[#This Row],[Unfollows]]</f>
        <v>1707</v>
      </c>
      <c r="I155">
        <f>Engagement_Summary5[[#This Row],[net followers]]/Engagement_Summary5[[#This Row],[Total_Followers]]</f>
        <v>7.4073109768798169E-3</v>
      </c>
      <c r="J155">
        <f t="shared" si="2"/>
        <v>9.7872706407171484E-3</v>
      </c>
    </row>
    <row r="156" spans="1:10" x14ac:dyDescent="0.3">
      <c r="A156" s="1">
        <v>45712</v>
      </c>
      <c r="B156" t="s">
        <v>26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>
        <f>Engagement_Summary5[[#This Row],[New_Followers]]-Engagement_Summary5[[#This Row],[Unfollows]]</f>
        <v>708</v>
      </c>
      <c r="I156">
        <f>Engagement_Summary5[[#This Row],[net followers]]/Engagement_Summary5[[#This Row],[Total_Followers]]</f>
        <v>2.2333891680625349E-3</v>
      </c>
      <c r="J156">
        <f t="shared" si="2"/>
        <v>6.836067847835684E-3</v>
      </c>
    </row>
    <row r="157" spans="1:10" x14ac:dyDescent="0.3">
      <c r="A157" s="1">
        <v>45712</v>
      </c>
      <c r="B157" t="s">
        <v>42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>
        <f>Engagement_Summary5[[#This Row],[New_Followers]]-Engagement_Summary5[[#This Row],[Unfollows]]</f>
        <v>1016</v>
      </c>
      <c r="I157">
        <f>Engagement_Summary5[[#This Row],[net followers]]/Engagement_Summary5[[#This Row],[Total_Followers]]</f>
        <v>2.1885278918832756E-3</v>
      </c>
      <c r="J157">
        <f t="shared" si="2"/>
        <v>3.9430760122752088E-3</v>
      </c>
    </row>
    <row r="158" spans="1:10" x14ac:dyDescent="0.3">
      <c r="A158" s="1">
        <v>45719</v>
      </c>
      <c r="B158" t="s">
        <v>15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>
        <f>Engagement_Summary5[[#This Row],[New_Followers]]-Engagement_Summary5[[#This Row],[Unfollows]]</f>
        <v>1315</v>
      </c>
      <c r="I158">
        <f>Engagement_Summary5[[#This Row],[net followers]]/Engagement_Summary5[[#This Row],[Total_Followers]]</f>
        <v>5.1052298518124532E-3</v>
      </c>
      <c r="J158">
        <f t="shared" si="2"/>
        <v>3.1757156372527544E-3</v>
      </c>
    </row>
    <row r="159" spans="1:10" x14ac:dyDescent="0.3">
      <c r="A159" s="1">
        <v>45719</v>
      </c>
      <c r="B159" t="s">
        <v>48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>
        <f>Engagement_Summary5[[#This Row],[New_Followers]]-Engagement_Summary5[[#This Row],[Unfollows]]</f>
        <v>-119</v>
      </c>
      <c r="I159">
        <f>Engagement_Summary5[[#This Row],[net followers]]/Engagement_Summary5[[#This Row],[Total_Followers]]</f>
        <v>-3.2435585380545735E-4</v>
      </c>
      <c r="J159">
        <f t="shared" si="2"/>
        <v>2.3231339632967573E-3</v>
      </c>
    </row>
    <row r="160" spans="1:10" x14ac:dyDescent="0.3">
      <c r="A160" s="1">
        <v>45719</v>
      </c>
      <c r="B160" t="s">
        <v>26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>
        <f>Engagement_Summary5[[#This Row],[New_Followers]]-Engagement_Summary5[[#This Row],[Unfollows]]</f>
        <v>899</v>
      </c>
      <c r="I160">
        <f>Engagement_Summary5[[#This Row],[net followers]]/Engagement_Summary5[[#This Row],[Total_Followers]]</f>
        <v>1.9268070513850934E-3</v>
      </c>
      <c r="J160">
        <f t="shared" si="2"/>
        <v>2.2358936831306966E-3</v>
      </c>
    </row>
    <row r="161" spans="1:10" x14ac:dyDescent="0.3">
      <c r="A161" s="1">
        <v>45719</v>
      </c>
      <c r="B161" t="s">
        <v>42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>
        <f>Engagement_Summary5[[#This Row],[New_Followers]]-Engagement_Summary5[[#This Row],[Unfollows]]</f>
        <v>315</v>
      </c>
      <c r="I161">
        <f>Engagement_Summary5[[#This Row],[net followers]]/Engagement_Summary5[[#This Row],[Total_Followers]]</f>
        <v>1.4029055733207443E-3</v>
      </c>
      <c r="J161">
        <f t="shared" si="2"/>
        <v>1.001785590300127E-3</v>
      </c>
    </row>
    <row r="162" spans="1:10" x14ac:dyDescent="0.3">
      <c r="A162" s="1">
        <v>45726</v>
      </c>
      <c r="B162" t="s">
        <v>15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>
        <f>Engagement_Summary5[[#This Row],[New_Followers]]-Engagement_Summary5[[#This Row],[Unfollows]]</f>
        <v>212</v>
      </c>
      <c r="I162">
        <f>Engagement_Summary5[[#This Row],[net followers]]/Engagement_Summary5[[#This Row],[Total_Followers]]</f>
        <v>4.5873346287504706E-4</v>
      </c>
      <c r="J162">
        <f t="shared" si="2"/>
        <v>1.2628153625269616E-3</v>
      </c>
    </row>
    <row r="163" spans="1:10" x14ac:dyDescent="0.3">
      <c r="A163" s="1">
        <v>45726</v>
      </c>
      <c r="B163" t="s">
        <v>48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>
        <f>Engagement_Summary5[[#This Row],[New_Followers]]-Engagement_Summary5[[#This Row],[Unfollows]]</f>
        <v>908</v>
      </c>
      <c r="I163">
        <f>Engagement_Summary5[[#This Row],[net followers]]/Engagement_Summary5[[#This Row],[Total_Followers]]</f>
        <v>2.6639909400836752E-3</v>
      </c>
      <c r="J163">
        <f t="shared" si="2"/>
        <v>1.5085433254264889E-3</v>
      </c>
    </row>
    <row r="164" spans="1:10" x14ac:dyDescent="0.3">
      <c r="A164" s="1">
        <v>45726</v>
      </c>
      <c r="B164" t="s">
        <v>26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>
        <f>Engagement_Summary5[[#This Row],[New_Followers]]-Engagement_Summary5[[#This Row],[Unfollows]]</f>
        <v>1350</v>
      </c>
      <c r="I164">
        <f>Engagement_Summary5[[#This Row],[net followers]]/Engagement_Summary5[[#This Row],[Total_Followers]]</f>
        <v>0.10825114265095021</v>
      </c>
      <c r="J164">
        <f t="shared" si="2"/>
        <v>3.7124622351302976E-2</v>
      </c>
    </row>
    <row r="165" spans="1:10" x14ac:dyDescent="0.3">
      <c r="A165" s="1">
        <v>45726</v>
      </c>
      <c r="B165" t="s">
        <v>42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>
        <f>Engagement_Summary5[[#This Row],[New_Followers]]-Engagement_Summary5[[#This Row],[Unfollows]]</f>
        <v>1242</v>
      </c>
      <c r="I165">
        <f>Engagement_Summary5[[#This Row],[net followers]]/Engagement_Summary5[[#This Row],[Total_Followers]]</f>
        <v>1.2622336046830695E-2</v>
      </c>
      <c r="J165">
        <f t="shared" si="2"/>
        <v>4.1179156545954852E-2</v>
      </c>
    </row>
    <row r="166" spans="1:10" x14ac:dyDescent="0.3">
      <c r="A166" s="1">
        <v>45733</v>
      </c>
      <c r="B166" t="s">
        <v>15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>
        <f>Engagement_Summary5[[#This Row],[New_Followers]]-Engagement_Summary5[[#This Row],[Unfollows]]</f>
        <v>680</v>
      </c>
      <c r="I166">
        <f>Engagement_Summary5[[#This Row],[net followers]]/Engagement_Summary5[[#This Row],[Total_Followers]]</f>
        <v>1.6572027392586454E-3</v>
      </c>
      <c r="J166">
        <f t="shared" si="2"/>
        <v>4.0843560479013184E-2</v>
      </c>
    </row>
    <row r="167" spans="1:10" x14ac:dyDescent="0.3">
      <c r="A167" s="1">
        <v>45733</v>
      </c>
      <c r="B167" t="s">
        <v>48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>
        <f>Engagement_Summary5[[#This Row],[New_Followers]]-Engagement_Summary5[[#This Row],[Unfollows]]</f>
        <v>1116</v>
      </c>
      <c r="I167">
        <f>Engagement_Summary5[[#This Row],[net followers]]/Engagement_Summary5[[#This Row],[Total_Followers]]</f>
        <v>3.2619275185675578E-3</v>
      </c>
      <c r="J167">
        <f t="shared" si="2"/>
        <v>5.8471554348856333E-3</v>
      </c>
    </row>
    <row r="168" spans="1:10" x14ac:dyDescent="0.3">
      <c r="A168" s="1">
        <v>45733</v>
      </c>
      <c r="B168" t="s">
        <v>26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>
        <f>Engagement_Summary5[[#This Row],[New_Followers]]-Engagement_Summary5[[#This Row],[Unfollows]]</f>
        <v>861</v>
      </c>
      <c r="I168">
        <f>Engagement_Summary5[[#This Row],[net followers]]/Engagement_Summary5[[#This Row],[Total_Followers]]</f>
        <v>6.9173294769824048E-2</v>
      </c>
      <c r="J168">
        <f t="shared" si="2"/>
        <v>2.4697475009216749E-2</v>
      </c>
    </row>
    <row r="169" spans="1:10" x14ac:dyDescent="0.3">
      <c r="A169" s="1">
        <v>45733</v>
      </c>
      <c r="B169" t="s">
        <v>42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>
        <f>Engagement_Summary5[[#This Row],[New_Followers]]-Engagement_Summary5[[#This Row],[Unfollows]]</f>
        <v>1385</v>
      </c>
      <c r="I169">
        <f>Engagement_Summary5[[#This Row],[net followers]]/Engagement_Summary5[[#This Row],[Total_Followers]]</f>
        <v>7.9689298043728429E-2</v>
      </c>
      <c r="J169">
        <f t="shared" si="2"/>
        <v>5.0708173444040015E-2</v>
      </c>
    </row>
    <row r="170" spans="1:10" x14ac:dyDescent="0.3">
      <c r="A170" s="1">
        <v>45740</v>
      </c>
      <c r="B170" t="s">
        <v>15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>
        <f>Engagement_Summary5[[#This Row],[New_Followers]]-Engagement_Summary5[[#This Row],[Unfollows]]</f>
        <v>461</v>
      </c>
      <c r="I170">
        <f>Engagement_Summary5[[#This Row],[net followers]]/Engagement_Summary5[[#This Row],[Total_Followers]]</f>
        <v>1.2636715002329981E-3</v>
      </c>
      <c r="J170">
        <f t="shared" si="2"/>
        <v>5.004208810459515E-2</v>
      </c>
    </row>
    <row r="171" spans="1:10" x14ac:dyDescent="0.3">
      <c r="A171" s="1">
        <v>45740</v>
      </c>
      <c r="B171" t="s">
        <v>48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>
        <f>Engagement_Summary5[[#This Row],[New_Followers]]-Engagement_Summary5[[#This Row],[Unfollows]]</f>
        <v>474</v>
      </c>
      <c r="I171">
        <f>Engagement_Summary5[[#This Row],[net followers]]/Engagement_Summary5[[#This Row],[Total_Followers]]</f>
        <v>1.268716241173857E-3</v>
      </c>
      <c r="J171">
        <f t="shared" si="2"/>
        <v>2.7407228595045099E-2</v>
      </c>
    </row>
    <row r="172" spans="1:10" x14ac:dyDescent="0.3">
      <c r="A172" s="1">
        <v>45740</v>
      </c>
      <c r="B172" t="s">
        <v>26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>
        <f>Engagement_Summary5[[#This Row],[New_Followers]]-Engagement_Summary5[[#This Row],[Unfollows]]</f>
        <v>292</v>
      </c>
      <c r="I172">
        <f>Engagement_Summary5[[#This Row],[net followers]]/Engagement_Summary5[[#This Row],[Total_Followers]]</f>
        <v>1.3832962243592781E-3</v>
      </c>
      <c r="J172">
        <f t="shared" si="2"/>
        <v>1.3052279885887111E-3</v>
      </c>
    </row>
    <row r="173" spans="1:10" x14ac:dyDescent="0.3">
      <c r="A173" s="1">
        <v>45740</v>
      </c>
      <c r="B173" t="s">
        <v>42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>
        <f>Engagement_Summary5[[#This Row],[New_Followers]]-Engagement_Summary5[[#This Row],[Unfollows]]</f>
        <v>389</v>
      </c>
      <c r="I173">
        <f>Engagement_Summary5[[#This Row],[net followers]]/Engagement_Summary5[[#This Row],[Total_Followers]]</f>
        <v>8.8022790888170322E-4</v>
      </c>
      <c r="J173">
        <f t="shared" si="2"/>
        <v>1.1774134581382795E-3</v>
      </c>
    </row>
    <row r="174" spans="1:10" x14ac:dyDescent="0.3">
      <c r="A174" s="1">
        <v>45747</v>
      </c>
      <c r="B174" t="s">
        <v>15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>
        <f>Engagement_Summary5[[#This Row],[New_Followers]]-Engagement_Summary5[[#This Row],[Unfollows]]</f>
        <v>641</v>
      </c>
      <c r="I174">
        <f>Engagement_Summary5[[#This Row],[net followers]]/Engagement_Summary5[[#This Row],[Total_Followers]]</f>
        <v>2.2667798288422093E-3</v>
      </c>
      <c r="J174">
        <f t="shared" si="2"/>
        <v>1.5101013206943968E-3</v>
      </c>
    </row>
    <row r="175" spans="1:10" x14ac:dyDescent="0.3">
      <c r="A175" s="1">
        <v>45747</v>
      </c>
      <c r="B175" t="s">
        <v>48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>
        <f>Engagement_Summary5[[#This Row],[New_Followers]]-Engagement_Summary5[[#This Row],[Unfollows]]</f>
        <v>514</v>
      </c>
      <c r="I175">
        <f>Engagement_Summary5[[#This Row],[net followers]]/Engagement_Summary5[[#This Row],[Total_Followers]]</f>
        <v>1.3889264193260734E-3</v>
      </c>
      <c r="J175">
        <f t="shared" si="2"/>
        <v>1.5119780523499954E-3</v>
      </c>
    </row>
    <row r="176" spans="1:10" x14ac:dyDescent="0.3">
      <c r="A176" s="1">
        <v>45747</v>
      </c>
      <c r="B176" t="s">
        <v>26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>
        <f>Engagement_Summary5[[#This Row],[New_Followers]]-Engagement_Summary5[[#This Row],[Unfollows]]</f>
        <v>1676</v>
      </c>
      <c r="I176">
        <f>Engagement_Summary5[[#This Row],[net followers]]/Engagement_Summary5[[#This Row],[Total_Followers]]</f>
        <v>8.4497101083942528E-3</v>
      </c>
      <c r="J176">
        <f t="shared" si="2"/>
        <v>4.0351387855208452E-3</v>
      </c>
    </row>
    <row r="177" spans="1:10" x14ac:dyDescent="0.3">
      <c r="A177" s="1">
        <v>45747</v>
      </c>
      <c r="B177" t="s">
        <v>42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>
        <f>Engagement_Summary5[[#This Row],[New_Followers]]-Engagement_Summary5[[#This Row],[Unfollows]]</f>
        <v>1467</v>
      </c>
      <c r="I177">
        <f>Engagement_Summary5[[#This Row],[net followers]]/Engagement_Summary5[[#This Row],[Total_Followers]]</f>
        <v>3.3667947287974553E-3</v>
      </c>
      <c r="J177">
        <f t="shared" si="2"/>
        <v>4.4018104188392609E-3</v>
      </c>
    </row>
    <row r="178" spans="1:10" x14ac:dyDescent="0.3">
      <c r="A178" s="1">
        <v>45754</v>
      </c>
      <c r="B178" t="s">
        <v>15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>
        <f>Engagement_Summary5[[#This Row],[New_Followers]]-Engagement_Summary5[[#This Row],[Unfollows]]</f>
        <v>167</v>
      </c>
      <c r="I178">
        <f>Engagement_Summary5[[#This Row],[net followers]]/Engagement_Summary5[[#This Row],[Total_Followers]]</f>
        <v>2.1195852212872357E-3</v>
      </c>
      <c r="J178">
        <f t="shared" si="2"/>
        <v>4.6453633528263146E-3</v>
      </c>
    </row>
    <row r="179" spans="1:10" x14ac:dyDescent="0.3">
      <c r="A179" s="1">
        <v>45754</v>
      </c>
      <c r="B179" t="s">
        <v>48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f>Engagement_Summary5[[#This Row],[New_Followers]]-Engagement_Summary5[[#This Row],[Unfollows]]</f>
        <v>1029</v>
      </c>
      <c r="I179">
        <f>Engagement_Summary5[[#This Row],[net followers]]/Engagement_Summary5[[#This Row],[Total_Followers]]</f>
        <v>1.0436528865268368E-2</v>
      </c>
      <c r="J179">
        <f t="shared" si="2"/>
        <v>5.307636271784353E-3</v>
      </c>
    </row>
    <row r="180" spans="1:10" x14ac:dyDescent="0.3">
      <c r="A180" s="1">
        <v>45754</v>
      </c>
      <c r="B180" t="s">
        <v>26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>
        <f>Engagement_Summary5[[#This Row],[New_Followers]]-Engagement_Summary5[[#This Row],[Unfollows]]</f>
        <v>1007</v>
      </c>
      <c r="I180">
        <f>Engagement_Summary5[[#This Row],[net followers]]/Engagement_Summary5[[#This Row],[Total_Followers]]</f>
        <v>3.4032917638311531E-2</v>
      </c>
      <c r="J180">
        <f t="shared" si="2"/>
        <v>1.5529677241622379E-2</v>
      </c>
    </row>
    <row r="181" spans="1:10" x14ac:dyDescent="0.3">
      <c r="A181" s="1">
        <v>45754</v>
      </c>
      <c r="B181" t="s">
        <v>42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>
        <f>Engagement_Summary5[[#This Row],[New_Followers]]-Engagement_Summary5[[#This Row],[Unfollows]]</f>
        <v>209</v>
      </c>
      <c r="I181">
        <f>Engagement_Summary5[[#This Row],[net followers]]/Engagement_Summary5[[#This Row],[Total_Followers]]</f>
        <v>7.1981098934404211E-4</v>
      </c>
      <c r="J181">
        <f t="shared" si="2"/>
        <v>1.5063085830974647E-2</v>
      </c>
    </row>
    <row r="182" spans="1:10" x14ac:dyDescent="0.3">
      <c r="A182" s="1">
        <v>45761</v>
      </c>
      <c r="B182" t="s">
        <v>15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>
        <f>Engagement_Summary5[[#This Row],[New_Followers]]-Engagement_Summary5[[#This Row],[Unfollows]]</f>
        <v>-160</v>
      </c>
      <c r="I182">
        <f>Engagement_Summary5[[#This Row],[net followers]]/Engagement_Summary5[[#This Row],[Total_Followers]]</f>
        <v>-2.3994481269308059E-3</v>
      </c>
      <c r="J182">
        <f t="shared" si="2"/>
        <v>1.0784426833574924E-2</v>
      </c>
    </row>
    <row r="183" spans="1:10" x14ac:dyDescent="0.3">
      <c r="A183" s="1">
        <v>45761</v>
      </c>
      <c r="B183" t="s">
        <v>48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>
        <f>Engagement_Summary5[[#This Row],[New_Followers]]-Engagement_Summary5[[#This Row],[Unfollows]]</f>
        <v>-175</v>
      </c>
      <c r="I183">
        <f>Engagement_Summary5[[#This Row],[net followers]]/Engagement_Summary5[[#This Row],[Total_Followers]]</f>
        <v>-2.4750024750024749E-3</v>
      </c>
      <c r="J183">
        <f t="shared" si="2"/>
        <v>-1.3848798708630797E-3</v>
      </c>
    </row>
    <row r="184" spans="1:10" x14ac:dyDescent="0.3">
      <c r="A184" s="1">
        <v>45761</v>
      </c>
      <c r="B184" t="s">
        <v>26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>
        <f>Engagement_Summary5[[#This Row],[New_Followers]]-Engagement_Summary5[[#This Row],[Unfollows]]</f>
        <v>53</v>
      </c>
      <c r="I184">
        <f>Engagement_Summary5[[#This Row],[net followers]]/Engagement_Summary5[[#This Row],[Total_Followers]]</f>
        <v>3.7191155522184875E-4</v>
      </c>
      <c r="J184">
        <f t="shared" si="2"/>
        <v>-1.5008463489038107E-3</v>
      </c>
    </row>
    <row r="185" spans="1:10" x14ac:dyDescent="0.3">
      <c r="A185" s="1">
        <v>45761</v>
      </c>
      <c r="B185" t="s">
        <v>42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>
        <f>Engagement_Summary5[[#This Row],[New_Followers]]-Engagement_Summary5[[#This Row],[Unfollows]]</f>
        <v>145</v>
      </c>
      <c r="I185">
        <f>Engagement_Summary5[[#This Row],[net followers]]/Engagement_Summary5[[#This Row],[Total_Followers]]</f>
        <v>3.9239564305527366E-4</v>
      </c>
      <c r="J185">
        <f t="shared" si="2"/>
        <v>-5.7023175890845077E-4</v>
      </c>
    </row>
    <row r="186" spans="1:10" x14ac:dyDescent="0.3">
      <c r="A186" s="1">
        <v>45768</v>
      </c>
      <c r="B186" t="s">
        <v>15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>
        <f>Engagement_Summary5[[#This Row],[New_Followers]]-Engagement_Summary5[[#This Row],[Unfollows]]</f>
        <v>603</v>
      </c>
      <c r="I186">
        <f>Engagement_Summary5[[#This Row],[net followers]]/Engagement_Summary5[[#This Row],[Total_Followers]]</f>
        <v>9.5802484827301332E-3</v>
      </c>
      <c r="J186">
        <f t="shared" si="2"/>
        <v>3.4481852270024185E-3</v>
      </c>
    </row>
    <row r="187" spans="1:10" x14ac:dyDescent="0.3">
      <c r="A187" s="1">
        <v>45768</v>
      </c>
      <c r="B187" t="s">
        <v>48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>
        <f>Engagement_Summary5[[#This Row],[New_Followers]]-Engagement_Summary5[[#This Row],[Unfollows]]</f>
        <v>1045</v>
      </c>
      <c r="I187">
        <f>Engagement_Summary5[[#This Row],[net followers]]/Engagement_Summary5[[#This Row],[Total_Followers]]</f>
        <v>2.7690774864725927E-3</v>
      </c>
      <c r="J187">
        <f t="shared" si="2"/>
        <v>4.2472405374193332E-3</v>
      </c>
    </row>
    <row r="188" spans="1:10" x14ac:dyDescent="0.3">
      <c r="A188" s="1">
        <v>45768</v>
      </c>
      <c r="B188" t="s">
        <v>26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>
        <f>Engagement_Summary5[[#This Row],[New_Followers]]-Engagement_Summary5[[#This Row],[Unfollows]]</f>
        <v>759</v>
      </c>
      <c r="I188">
        <f>Engagement_Summary5[[#This Row],[net followers]]/Engagement_Summary5[[#This Row],[Total_Followers]]</f>
        <v>2.2734693021737242E-3</v>
      </c>
      <c r="J188">
        <f t="shared" si="2"/>
        <v>4.8742650904588167E-3</v>
      </c>
    </row>
    <row r="189" spans="1:10" x14ac:dyDescent="0.3">
      <c r="A189" s="1">
        <v>45768</v>
      </c>
      <c r="B189" t="s">
        <v>42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>
        <f>Engagement_Summary5[[#This Row],[New_Followers]]-Engagement_Summary5[[#This Row],[Unfollows]]</f>
        <v>1633</v>
      </c>
      <c r="I189">
        <f>Engagement_Summary5[[#This Row],[net followers]]/Engagement_Summary5[[#This Row],[Total_Followers]]</f>
        <v>6.0267642955734836E-3</v>
      </c>
      <c r="J189">
        <f t="shared" si="2"/>
        <v>3.6897703614065997E-3</v>
      </c>
    </row>
    <row r="190" spans="1:10" x14ac:dyDescent="0.3">
      <c r="A190" s="1">
        <v>45775</v>
      </c>
      <c r="B190" t="s">
        <v>15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>
        <f>Engagement_Summary5[[#This Row],[New_Followers]]-Engagement_Summary5[[#This Row],[Unfollows]]</f>
        <v>1539</v>
      </c>
      <c r="I190">
        <f>Engagement_Summary5[[#This Row],[net followers]]/Engagement_Summary5[[#This Row],[Total_Followers]]</f>
        <v>3.4511059684624078E-3</v>
      </c>
      <c r="J190">
        <f t="shared" si="2"/>
        <v>3.9171131887365393E-3</v>
      </c>
    </row>
    <row r="191" spans="1:10" x14ac:dyDescent="0.3">
      <c r="A191" s="1">
        <v>45775</v>
      </c>
      <c r="B191" t="s">
        <v>48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>
        <f>Engagement_Summary5[[#This Row],[New_Followers]]-Engagement_Summary5[[#This Row],[Unfollows]]</f>
        <v>453</v>
      </c>
      <c r="I191">
        <f>Engagement_Summary5[[#This Row],[net followers]]/Engagement_Summary5[[#This Row],[Total_Followers]]</f>
        <v>2.014855668727483E-3</v>
      </c>
      <c r="J191">
        <f t="shared" si="2"/>
        <v>3.830908644254458E-3</v>
      </c>
    </row>
    <row r="192" spans="1:10" x14ac:dyDescent="0.3">
      <c r="A192" s="1">
        <v>45775</v>
      </c>
      <c r="B192" t="s">
        <v>26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>
        <f>Engagement_Summary5[[#This Row],[New_Followers]]-Engagement_Summary5[[#This Row],[Unfollows]]</f>
        <v>948</v>
      </c>
      <c r="I192">
        <f>Engagement_Summary5[[#This Row],[net followers]]/Engagement_Summary5[[#This Row],[Total_Followers]]</f>
        <v>1.9454574184929272E-3</v>
      </c>
      <c r="J192">
        <f t="shared" si="2"/>
        <v>2.4704730185609396E-3</v>
      </c>
    </row>
    <row r="193" spans="1:10" x14ac:dyDescent="0.3">
      <c r="A193" s="1">
        <v>45775</v>
      </c>
      <c r="B193" t="s">
        <v>42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>
        <f>Engagement_Summary5[[#This Row],[New_Followers]]-Engagement_Summary5[[#This Row],[Unfollows]]</f>
        <v>637</v>
      </c>
      <c r="I193">
        <f>Engagement_Summary5[[#This Row],[net followers]]/Engagement_Summary5[[#This Row],[Total_Followers]]</f>
        <v>5.5706165282028861E-2</v>
      </c>
      <c r="J193">
        <f t="shared" si="2"/>
        <v>1.9888826123083091E-2</v>
      </c>
    </row>
    <row r="194" spans="1:10" x14ac:dyDescent="0.3">
      <c r="A194" s="1">
        <v>45782</v>
      </c>
      <c r="B194" t="s">
        <v>15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>
        <f>Engagement_Summary5[[#This Row],[New_Followers]]-Engagement_Summary5[[#This Row],[Unfollows]]</f>
        <v>1881</v>
      </c>
      <c r="I194">
        <f>Engagement_Summary5[[#This Row],[net followers]]/Engagement_Summary5[[#This Row],[Total_Followers]]</f>
        <v>4.1995793722733989E-3</v>
      </c>
      <c r="J194">
        <f t="shared" si="2"/>
        <v>2.0617067357598395E-2</v>
      </c>
    </row>
    <row r="195" spans="1:10" x14ac:dyDescent="0.3">
      <c r="A195" s="1">
        <v>45782</v>
      </c>
      <c r="B195" t="s">
        <v>48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>
        <f>Engagement_Summary5[[#This Row],[New_Followers]]-Engagement_Summary5[[#This Row],[Unfollows]]</f>
        <v>339</v>
      </c>
      <c r="I195">
        <f>Engagement_Summary5[[#This Row],[net followers]]/Engagement_Summary5[[#This Row],[Total_Followers]]</f>
        <v>8.0965664826031301E-4</v>
      </c>
      <c r="J195">
        <f t="shared" si="2"/>
        <v>2.0238467100854193E-2</v>
      </c>
    </row>
    <row r="196" spans="1:10" x14ac:dyDescent="0.3">
      <c r="A196" s="1">
        <v>45782</v>
      </c>
      <c r="B196" t="s">
        <v>26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>
        <f>Engagement_Summary5[[#This Row],[New_Followers]]-Engagement_Summary5[[#This Row],[Unfollows]]</f>
        <v>1510</v>
      </c>
      <c r="I196">
        <f>Engagement_Summary5[[#This Row],[net followers]]/Engagement_Summary5[[#This Row],[Total_Followers]]</f>
        <v>3.1174901520344203E-3</v>
      </c>
      <c r="J196">
        <f t="shared" ref="J196:J201" si="3">AVERAGE(I194:I196)</f>
        <v>2.7089087241893776E-3</v>
      </c>
    </row>
    <row r="197" spans="1:10" x14ac:dyDescent="0.3">
      <c r="A197" s="1">
        <v>45782</v>
      </c>
      <c r="B197" t="s">
        <v>42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>
        <f>Engagement_Summary5[[#This Row],[New_Followers]]-Engagement_Summary5[[#This Row],[Unfollows]]</f>
        <v>864</v>
      </c>
      <c r="I197">
        <f>Engagement_Summary5[[#This Row],[net followers]]/Engagement_Summary5[[#This Row],[Total_Followers]]</f>
        <v>5.8190830903102836E-3</v>
      </c>
      <c r="J197">
        <f t="shared" si="3"/>
        <v>3.2487432968683391E-3</v>
      </c>
    </row>
    <row r="198" spans="1:10" x14ac:dyDescent="0.3">
      <c r="A198" s="1">
        <v>45789</v>
      </c>
      <c r="B198" t="s">
        <v>15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>
        <f>Engagement_Summary5[[#This Row],[New_Followers]]-Engagement_Summary5[[#This Row],[Unfollows]]</f>
        <v>1656</v>
      </c>
      <c r="I198">
        <f>Engagement_Summary5[[#This Row],[net followers]]/Engagement_Summary5[[#This Row],[Total_Followers]]</f>
        <v>3.5361871958419907E-3</v>
      </c>
      <c r="J198">
        <f t="shared" si="3"/>
        <v>4.1575868127288985E-3</v>
      </c>
    </row>
    <row r="199" spans="1:10" x14ac:dyDescent="0.3">
      <c r="A199" s="1">
        <v>45789</v>
      </c>
      <c r="B199" t="s">
        <v>48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>
        <f>Engagement_Summary5[[#This Row],[New_Followers]]-Engagement_Summary5[[#This Row],[Unfollows]]</f>
        <v>407</v>
      </c>
      <c r="I199">
        <f>Engagement_Summary5[[#This Row],[net followers]]/Engagement_Summary5[[#This Row],[Total_Followers]]</f>
        <v>1.1156186612576065E-3</v>
      </c>
      <c r="J199">
        <f t="shared" si="3"/>
        <v>3.4902963158032936E-3</v>
      </c>
    </row>
    <row r="200" spans="1:10" x14ac:dyDescent="0.3">
      <c r="A200" s="1">
        <v>45789</v>
      </c>
      <c r="B200" t="s">
        <v>26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>
        <f>Engagement_Summary5[[#This Row],[New_Followers]]-Engagement_Summary5[[#This Row],[Unfollows]]</f>
        <v>269</v>
      </c>
      <c r="I200">
        <f>Engagement_Summary5[[#This Row],[net followers]]/Engagement_Summary5[[#This Row],[Total_Followers]]</f>
        <v>5.8952701962314107E-4</v>
      </c>
      <c r="J200">
        <f t="shared" si="3"/>
        <v>1.7471109589075795E-3</v>
      </c>
    </row>
    <row r="201" spans="1:10" x14ac:dyDescent="0.3">
      <c r="A201" s="1">
        <v>45789</v>
      </c>
      <c r="B201" t="s">
        <v>42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f>Engagement_Summary5[[#This Row],[New_Followers]]-Engagement_Summary5[[#This Row],[Unfollows]]</f>
        <v>-337</v>
      </c>
      <c r="I201">
        <f>Engagement_Summary5[[#This Row],[net followers]]/Engagement_Summary5[[#This Row],[Total_Followers]]</f>
        <v>-4.0819787301048958E-3</v>
      </c>
      <c r="J201">
        <f t="shared" si="3"/>
        <v>-7.9227768307471612E-4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EF5A-2582-491C-A89D-5BCF93F40E53}">
  <dimension ref="A1:E19"/>
  <sheetViews>
    <sheetView tabSelected="1" workbookViewId="0">
      <selection activeCell="E19" sqref="E19"/>
    </sheetView>
  </sheetViews>
  <sheetFormatPr defaultRowHeight="14.4" x14ac:dyDescent="0.3"/>
  <cols>
    <col min="5" max="5" width="44.88671875" customWidth="1"/>
  </cols>
  <sheetData>
    <row r="1" spans="1:4" x14ac:dyDescent="0.3">
      <c r="A1" s="5"/>
      <c r="B1" s="5" t="s">
        <v>388</v>
      </c>
      <c r="C1" s="5" t="s">
        <v>389</v>
      </c>
      <c r="D1" s="5" t="s">
        <v>390</v>
      </c>
    </row>
    <row r="2" spans="1:4" x14ac:dyDescent="0.3">
      <c r="A2" t="s">
        <v>388</v>
      </c>
      <c r="B2">
        <v>1</v>
      </c>
    </row>
    <row r="3" spans="1:4" x14ac:dyDescent="0.3">
      <c r="A3" t="s">
        <v>389</v>
      </c>
      <c r="B3">
        <v>8.5932221904422137E-2</v>
      </c>
      <c r="C3">
        <v>1</v>
      </c>
    </row>
    <row r="4" spans="1:4" ht="15" thickBot="1" x14ac:dyDescent="0.35">
      <c r="A4" s="4" t="s">
        <v>390</v>
      </c>
      <c r="B4" s="7">
        <v>1.0517179545291879E-2</v>
      </c>
      <c r="C4" s="4">
        <v>0.34146133404726553</v>
      </c>
      <c r="D4" s="4">
        <v>1</v>
      </c>
    </row>
    <row r="19" spans="5:5" ht="43.2" x14ac:dyDescent="0.3">
      <c r="E19" s="8" t="s">
        <v>394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0A718A9-146E-4E6C-AA71-BAB9213DF354}">
  <ds:schemaRefs/>
</ds:datastoreItem>
</file>

<file path=customXml/itemProps2.xml><?xml version="1.0" encoding="utf-8"?>
<ds:datastoreItem xmlns:ds="http://schemas.openxmlformats.org/officeDocument/2006/customXml" ds:itemID="{AC685659-80E8-4079-8AA2-4B47413D40D8}">
  <ds:schemaRefs/>
</ds:datastoreItem>
</file>

<file path=customXml/itemProps3.xml><?xml version="1.0" encoding="utf-8"?>
<ds:datastoreItem xmlns:ds="http://schemas.openxmlformats.org/officeDocument/2006/customXml" ds:itemID="{CDCCD87E-2B86-4D83-8005-C38B724305A8}">
  <ds:schemaRefs/>
</ds:datastoreItem>
</file>

<file path=customXml/itemProps4.xml><?xml version="1.0" encoding="utf-8"?>
<ds:datastoreItem xmlns:ds="http://schemas.openxmlformats.org/officeDocument/2006/customXml" ds:itemID="{DA4D25CC-7C52-4431-BC82-7C47A112CAF6}">
  <ds:schemaRefs/>
</ds:datastoreItem>
</file>

<file path=customXml/itemProps5.xml><?xml version="1.0" encoding="utf-8"?>
<ds:datastoreItem xmlns:ds="http://schemas.openxmlformats.org/officeDocument/2006/customXml" ds:itemID="{91471D05-3EC3-4197-825E-CACE24379493}">
  <ds:schemaRefs/>
</ds:datastoreItem>
</file>

<file path=customXml/itemProps6.xml><?xml version="1.0" encoding="utf-8"?>
<ds:datastoreItem xmlns:ds="http://schemas.openxmlformats.org/officeDocument/2006/customXml" ds:itemID="{F19CEBB9-BF46-4B6A-8499-2671DA6B4F43}">
  <ds:schemaRefs/>
</ds:datastoreItem>
</file>

<file path=customXml/itemProps7.xml><?xml version="1.0" encoding="utf-8"?>
<ds:datastoreItem xmlns:ds="http://schemas.openxmlformats.org/officeDocument/2006/customXml" ds:itemID="{CCC09A83-A280-4C65-AF3A-5B14EE014B1A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61B2A262-37C9-4856-9326-86773A1C9A4A}">
  <ds:schemaRefs/>
</ds:datastoreItem>
</file>

<file path=customXml/itemProps9.xml><?xml version="1.0" encoding="utf-8"?>
<ds:datastoreItem xmlns:ds="http://schemas.openxmlformats.org/officeDocument/2006/customXml" ds:itemID="{DDC0FF9B-AFE5-492D-972D-633096028AB8}">
  <ds:schemaRefs/>
</ds:datastoreItem>
</file>

<file path=customXml/itemProps10.xml><?xml version="1.0" encoding="utf-8"?>
<ds:datastoreItem xmlns:ds="http://schemas.openxmlformats.org/officeDocument/2006/customXml" ds:itemID="{B58685B6-67CE-4DF4-ACD0-5BA1B5F66248}">
  <ds:schemaRefs/>
</ds:datastoreItem>
</file>

<file path=customXml/itemProps11.xml><?xml version="1.0" encoding="utf-8"?>
<ds:datastoreItem xmlns:ds="http://schemas.openxmlformats.org/officeDocument/2006/customXml" ds:itemID="{8D4597D8-78AE-41A5-94ED-28C58520404E}">
  <ds:schemaRefs/>
</ds:datastoreItem>
</file>

<file path=customXml/itemProps12.xml><?xml version="1.0" encoding="utf-8"?>
<ds:datastoreItem xmlns:ds="http://schemas.openxmlformats.org/officeDocument/2006/customXml" ds:itemID="{F042CD7A-3FCA-4A91-9F3C-FAC5CA8A02AC}">
  <ds:schemaRefs/>
</ds:datastoreItem>
</file>

<file path=customXml/itemProps13.xml><?xml version="1.0" encoding="utf-8"?>
<ds:datastoreItem xmlns:ds="http://schemas.openxmlformats.org/officeDocument/2006/customXml" ds:itemID="{FDFE1CE1-6C31-4663-92B8-D472F8B12B40}">
  <ds:schemaRefs/>
</ds:datastoreItem>
</file>

<file path=customXml/itemProps14.xml><?xml version="1.0" encoding="utf-8"?>
<ds:datastoreItem xmlns:ds="http://schemas.openxmlformats.org/officeDocument/2006/customXml" ds:itemID="{73F58A3F-0D45-4FCC-A997-117CBC67DD5A}">
  <ds:schemaRefs/>
</ds:datastoreItem>
</file>

<file path=customXml/itemProps15.xml><?xml version="1.0" encoding="utf-8"?>
<ds:datastoreItem xmlns:ds="http://schemas.openxmlformats.org/officeDocument/2006/customXml" ds:itemID="{4AAC699C-35A6-4F6A-BF97-2955CBDF6658}">
  <ds:schemaRefs/>
</ds:datastoreItem>
</file>

<file path=customXml/itemProps16.xml><?xml version="1.0" encoding="utf-8"?>
<ds:datastoreItem xmlns:ds="http://schemas.openxmlformats.org/officeDocument/2006/customXml" ds:itemID="{D54C298B-F4A6-4494-B2B9-69527093E7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Campaign Metadata</vt:lpstr>
      <vt:lpstr>Task 6.1</vt:lpstr>
      <vt:lpstr>Task 6.2</vt:lpstr>
      <vt:lpstr>Task 6.3</vt:lpstr>
      <vt:lpstr>Task 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Chikhlonde</dc:creator>
  <cp:lastModifiedBy>Himanshu Chikhlonde</cp:lastModifiedBy>
  <dcterms:created xsi:type="dcterms:W3CDTF">2026-01-12T12:33:34Z</dcterms:created>
  <dcterms:modified xsi:type="dcterms:W3CDTF">2026-01-15T12:55:39Z</dcterms:modified>
</cp:coreProperties>
</file>